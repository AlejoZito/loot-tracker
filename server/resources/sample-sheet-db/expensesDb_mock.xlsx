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summary_by_categories" sheetId="2" r:id="rId6"/>
    <sheet state="visible" name="expenses" sheetId="3" r:id="rId7"/>
    <sheet state="visible" name="expenses_by_installments" sheetId="4" r:id="rId8"/>
    <sheet state="visible" name="expenses-categories" sheetId="5" r:id="rId9"/>
    <sheet state="visible" name="exchange" sheetId="6" r:id="rId10"/>
    <sheet state="visible" name="habits" sheetId="7" r:id="rId11"/>
    <sheet state="visible" name="habits-categories" sheetId="8" r:id="rId12"/>
  </sheets>
  <definedNames/>
  <calcPr/>
</workbook>
</file>

<file path=xl/sharedStrings.xml><?xml version="1.0" encoding="utf-8"?>
<sst xmlns="http://schemas.openxmlformats.org/spreadsheetml/2006/main" count="2188" uniqueCount="269">
  <si>
    <t>Gastos individuales de cada uno</t>
  </si>
  <si>
    <t>Id</t>
  </si>
  <si>
    <t>Categoría</t>
  </si>
  <si>
    <t>ID</t>
  </si>
  <si>
    <t>Cuánto aportó cada uno a los gastos compartidos</t>
  </si>
  <si>
    <t>% aportado del total de compartidos</t>
  </si>
  <si>
    <t>PERÍODO</t>
  </si>
  <si>
    <t>PERIODO_ORIGEN</t>
  </si>
  <si>
    <t>cuánto desembolsó cada uno de su bolsillo</t>
  </si>
  <si>
    <t>CATEGORÍA</t>
  </si>
  <si>
    <t>cuánto ingresó cada uno marcado como individual</t>
  </si>
  <si>
    <t>MONTO CUOTA</t>
  </si>
  <si>
    <t>Tipo</t>
  </si>
  <si>
    <t>CUOTAS</t>
  </si>
  <si>
    <t>cuánto ingresó cada uno marcado como compartido</t>
  </si>
  <si>
    <t>MONEDA</t>
  </si>
  <si>
    <t>user</t>
  </si>
  <si>
    <t>COMENTARIO</t>
  </si>
  <si>
    <t>% de ingresos compartidos aportados</t>
  </si>
  <si>
    <t>compartido</t>
  </si>
  <si>
    <t>INGRESO/EGRESO</t>
  </si>
  <si>
    <t>período</t>
  </si>
  <si>
    <t>COMPARTIDO</t>
  </si>
  <si>
    <t>cuánto ingresó cada uno total (tanto marcado individual como compartido)</t>
  </si>
  <si>
    <t>monto</t>
  </si>
  <si>
    <t>USUARIO</t>
  </si>
  <si>
    <t>ahorro en el bolsillo x persona (ingresos de una persona - gastos compartidos divididos proporcionalmente - gastos individuales)</t>
  </si>
  <si>
    <t>USD (MES CUOTA)</t>
  </si>
  <si>
    <t>ahorro servicios</t>
  </si>
  <si>
    <t>USD (ORIGEN)</t>
  </si>
  <si>
    <t>MES-AÑO</t>
  </si>
  <si>
    <t>cuánto le debe uno a otro para balancear los gastos compartidos mensuales</t>
  </si>
  <si>
    <t>c88c1ddc-0a86-11f1-af1e-325096b39f47</t>
  </si>
  <si>
    <t>neto ahorro hogar</t>
  </si>
  <si>
    <t>Gastos por mes</t>
  </si>
  <si>
    <t>gastos (ind)</t>
  </si>
  <si>
    <t>gastos compartidos</t>
  </si>
  <si>
    <t>gastos compartidos %</t>
  </si>
  <si>
    <t>gastos total (comp + ind)</t>
  </si>
  <si>
    <t>ingresos (ind)</t>
  </si>
  <si>
    <t>servicios</t>
  </si>
  <si>
    <t>ingresos compartidos</t>
  </si>
  <si>
    <t>USD</t>
  </si>
  <si>
    <t>ingresos %</t>
  </si>
  <si>
    <t>Egreso</t>
  </si>
  <si>
    <t>Si</t>
  </si>
  <si>
    <t>ingresos total (comp + ind)</t>
  </si>
  <si>
    <t>user-b</t>
  </si>
  <si>
    <t>ahorro (comp - ind)</t>
  </si>
  <si>
    <t>Período</t>
  </si>
  <si>
    <t>06-2024</t>
  </si>
  <si>
    <t>ahorro (compartido)</t>
  </si>
  <si>
    <t>% ahorro sobre ingreso x persona</t>
  </si>
  <si>
    <t>00349dd4-0ab1-11f1-81b6-325096b39f47</t>
  </si>
  <si>
    <t>Monto</t>
  </si>
  <si>
    <t>% ahorro (compartido)</t>
  </si>
  <si>
    <t>Cuotas</t>
  </si>
  <si>
    <t>saldo</t>
  </si>
  <si>
    <t>salario</t>
  </si>
  <si>
    <t>Moneda</t>
  </si>
  <si>
    <t>Comentario</t>
  </si>
  <si>
    <t>user-a</t>
  </si>
  <si>
    <t>Ingreso/Egreso</t>
  </si>
  <si>
    <t>Compartido</t>
  </si>
  <si>
    <t>total</t>
  </si>
  <si>
    <t>usuario</t>
  </si>
  <si>
    <t>Ingreso</t>
  </si>
  <si>
    <t>5c80570a</t>
  </si>
  <si>
    <t>super</t>
  </si>
  <si>
    <t>user-a a user-b</t>
  </si>
  <si>
    <t>ARS</t>
  </si>
  <si>
    <t>user-b a user-a</t>
  </si>
  <si>
    <t>e29fba8f</t>
  </si>
  <si>
    <t>salidas</t>
  </si>
  <si>
    <t>ba548b7a</t>
  </si>
  <si>
    <t>84763a1b</t>
  </si>
  <si>
    <t>delivery</t>
  </si>
  <si>
    <t>598b7297</t>
  </si>
  <si>
    <t>2ca822bc</t>
  </si>
  <si>
    <t>1550232e</t>
  </si>
  <si>
    <t>c17d2e81</t>
  </si>
  <si>
    <t>0064096d</t>
  </si>
  <si>
    <t>otros</t>
  </si>
  <si>
    <t>Teclado</t>
  </si>
  <si>
    <t>No</t>
  </si>
  <si>
    <t>3d675d52</t>
  </si>
  <si>
    <t>2242ddfb</t>
  </si>
  <si>
    <t>d59172c2</t>
  </si>
  <si>
    <t>c21ccf8d</t>
  </si>
  <si>
    <t>07-2024</t>
  </si>
  <si>
    <t>f7a63002</t>
  </si>
  <si>
    <t>08-2024</t>
  </si>
  <si>
    <t>625bdd9f</t>
  </si>
  <si>
    <t>Android games</t>
  </si>
  <si>
    <t>018508b9</t>
  </si>
  <si>
    <t>Cine</t>
  </si>
  <si>
    <t>0678954a</t>
  </si>
  <si>
    <t>401cbf11</t>
  </si>
  <si>
    <t>Café</t>
  </si>
  <si>
    <t>940e81b5</t>
  </si>
  <si>
    <t>d4ef954e</t>
  </si>
  <si>
    <t>fdc86f90</t>
  </si>
  <si>
    <t>a3ee2198</t>
  </si>
  <si>
    <t>708768c6</t>
  </si>
  <si>
    <t>Farmacia</t>
  </si>
  <si>
    <t>598090be</t>
  </si>
  <si>
    <t>Ropa y regalo</t>
  </si>
  <si>
    <t>0fb61cb0</t>
  </si>
  <si>
    <t>03ed6348</t>
  </si>
  <si>
    <t>auto</t>
  </si>
  <si>
    <t>Seguro</t>
  </si>
  <si>
    <t>9512b155</t>
  </si>
  <si>
    <t>9d6c1d28</t>
  </si>
  <si>
    <t>joysticks</t>
  </si>
  <si>
    <t>46d5ddb2</t>
  </si>
  <si>
    <t>Steam</t>
  </si>
  <si>
    <t>a75d03e8</t>
  </si>
  <si>
    <t>5dc0634c</t>
  </si>
  <si>
    <t>nafta</t>
  </si>
  <si>
    <t>55adfa1b</t>
  </si>
  <si>
    <t>micro sd</t>
  </si>
  <si>
    <t>1c07f07c</t>
  </si>
  <si>
    <t>f4f9ecd1</t>
  </si>
  <si>
    <t>ca631e01</t>
  </si>
  <si>
    <t>7c6577c4</t>
  </si>
  <si>
    <t>Almuerzo floa</t>
  </si>
  <si>
    <t>3308ceed</t>
  </si>
  <si>
    <t>ea3dfdfd</t>
  </si>
  <si>
    <t>bc488748</t>
  </si>
  <si>
    <t>e08fd082</t>
  </si>
  <si>
    <t>c88c2016-0a86-11f1-b3ca-325096b39f47</t>
  </si>
  <si>
    <t>0034a018-0ab1-11f1-9ac3-325096b39f47</t>
  </si>
  <si>
    <t>0bad2316</t>
  </si>
  <si>
    <t>Nanum</t>
  </si>
  <si>
    <t>8fae5122</t>
  </si>
  <si>
    <t>b269c650</t>
  </si>
  <si>
    <t>7b3d6c53</t>
  </si>
  <si>
    <t>Cargador celu</t>
  </si>
  <si>
    <t>2094c0cd</t>
  </si>
  <si>
    <t>193f55c0</t>
  </si>
  <si>
    <t>a429de0f</t>
  </si>
  <si>
    <t>09-2024</t>
  </si>
  <si>
    <t>29b8c40a</t>
  </si>
  <si>
    <t>10-2024</t>
  </si>
  <si>
    <t>97d9c6f9</t>
  </si>
  <si>
    <t>35a42b0b</t>
  </si>
  <si>
    <t>11-2024</t>
  </si>
  <si>
    <t>Android</t>
  </si>
  <si>
    <t>a855b173</t>
  </si>
  <si>
    <t>cbcc13f9</t>
  </si>
  <si>
    <t>ffcdd5ac</t>
  </si>
  <si>
    <t>7040a3b2</t>
  </si>
  <si>
    <t>20d9aee0</t>
  </si>
  <si>
    <t>28e367aa</t>
  </si>
  <si>
    <t>15a4d87d</t>
  </si>
  <si>
    <t>0c9a78ab</t>
  </si>
  <si>
    <t>Clases</t>
  </si>
  <si>
    <t>6dc272f0</t>
  </si>
  <si>
    <t>8faed62b</t>
  </si>
  <si>
    <t>a6cdee20</t>
  </si>
  <si>
    <t>886144ce</t>
  </si>
  <si>
    <t>5ca39062</t>
  </si>
  <si>
    <t>81d03a25</t>
  </si>
  <si>
    <t>2573dcf3</t>
  </si>
  <si>
    <t>Google home</t>
  </si>
  <si>
    <t>addd52da</t>
  </si>
  <si>
    <t>d51c753f</t>
  </si>
  <si>
    <t>35e82ccf</t>
  </si>
  <si>
    <t>Patente</t>
  </si>
  <si>
    <t>d3a7affb</t>
  </si>
  <si>
    <t>Cafe</t>
  </si>
  <si>
    <t>ec9ad7b2</t>
  </si>
  <si>
    <t>Estufa</t>
  </si>
  <si>
    <t>150b4df9</t>
  </si>
  <si>
    <t>b1a0fb8f</t>
  </si>
  <si>
    <t>a1ab32e2</t>
  </si>
  <si>
    <t>7634397d</t>
  </si>
  <si>
    <t>8b77c84e</t>
  </si>
  <si>
    <t>Samsung fit3</t>
  </si>
  <si>
    <t>b85d2bd0</t>
  </si>
  <si>
    <t>03ed6349</t>
  </si>
  <si>
    <t>25c12033</t>
  </si>
  <si>
    <t>446d4157</t>
  </si>
  <si>
    <t>d4cfdf71</t>
  </si>
  <si>
    <t>4ab582e0</t>
  </si>
  <si>
    <t>821811f1</t>
  </si>
  <si>
    <t>69f7905b</t>
  </si>
  <si>
    <t>d7741124</t>
  </si>
  <si>
    <t>da5abf26</t>
  </si>
  <si>
    <t>57a3a46c</t>
  </si>
  <si>
    <t>Anker</t>
  </si>
  <si>
    <t>1e479b68</t>
  </si>
  <si>
    <t>2592f00c</t>
  </si>
  <si>
    <t>dfba7d23</t>
  </si>
  <si>
    <t>Productos limpieza</t>
  </si>
  <si>
    <t>9a863c47</t>
  </si>
  <si>
    <t>12-2024</t>
  </si>
  <si>
    <t>268d617c</t>
  </si>
  <si>
    <t>56b7d638</t>
  </si>
  <si>
    <t>5a95775b</t>
  </si>
  <si>
    <t>Service</t>
  </si>
  <si>
    <t>f574f290</t>
  </si>
  <si>
    <t>9fa3354b</t>
  </si>
  <si>
    <t>292d130b</t>
  </si>
  <si>
    <t>id</t>
  </si>
  <si>
    <t>nombre</t>
  </si>
  <si>
    <t>emoji</t>
  </si>
  <si>
    <t>type</t>
  </si>
  <si>
    <t>cart</t>
  </si>
  <si>
    <t>🛒</t>
  </si>
  <si>
    <t>Gasto</t>
  </si>
  <si>
    <t>shared</t>
  </si>
  <si>
    <t>other</t>
  </si>
  <si>
    <t>🧦</t>
  </si>
  <si>
    <t>car</t>
  </si>
  <si>
    <t>🚙</t>
  </si>
  <si>
    <t>holidays</t>
  </si>
  <si>
    <t>vacaciones</t>
  </si>
  <si>
    <t>🌴</t>
  </si>
  <si>
    <t>fuel</t>
  </si>
  <si>
    <t>⛽</t>
  </si>
  <si>
    <t>🍕</t>
  </si>
  <si>
    <t>manteinance</t>
  </si>
  <si>
    <t>refaccion</t>
  </si>
  <si>
    <t>🔧</t>
  </si>
  <si>
    <t>taxes</t>
  </si>
  <si>
    <t>impuestos</t>
  </si>
  <si>
    <t>📃</t>
  </si>
  <si>
    <t>goingout</t>
  </si>
  <si>
    <t>🍷</t>
  </si>
  <si>
    <t>medic</t>
  </si>
  <si>
    <t>salud</t>
  </si>
  <si>
    <t>⚕️</t>
  </si>
  <si>
    <t>utilities</t>
  </si>
  <si>
    <t>🏠</t>
  </si>
  <si>
    <t>supplies</t>
  </si>
  <si>
    <t>insumos</t>
  </si>
  <si>
    <t>😒</t>
  </si>
  <si>
    <t>salary</t>
  </si>
  <si>
    <t>💸</t>
  </si>
  <si>
    <t>visit</t>
  </si>
  <si>
    <t>domicilio</t>
  </si>
  <si>
    <t>🚕</t>
  </si>
  <si>
    <t>cancer</t>
  </si>
  <si>
    <t>atencion-medica</t>
  </si>
  <si>
    <t>😷</t>
  </si>
  <si>
    <t>other-income</t>
  </si>
  <si>
    <t>varios</t>
  </si>
  <si>
    <t>🎲</t>
  </si>
  <si>
    <t>education</t>
  </si>
  <si>
    <t>educación</t>
  </si>
  <si>
    <t>📖</t>
  </si>
  <si>
    <t>pets</t>
  </si>
  <si>
    <t>perros</t>
  </si>
  <si>
    <t>🐕</t>
  </si>
  <si>
    <t>period</t>
  </si>
  <si>
    <t>usd</t>
  </si>
  <si>
    <t>eur</t>
  </si>
  <si>
    <t>day</t>
  </si>
  <si>
    <t>training</t>
  </si>
  <si>
    <t>dont-smoke</t>
  </si>
  <si>
    <t>dont-scroll</t>
  </si>
  <si>
    <t>default</t>
  </si>
  <si>
    <t>Entrenamiento</t>
  </si>
  <si>
    <t>🏋️‍♂️</t>
  </si>
  <si>
    <t>No fumar</t>
  </si>
  <si>
    <t>🚭</t>
  </si>
  <si>
    <t>Celu Detox</t>
  </si>
  <si>
    <t>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</si>
</sst>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yyyy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C1" s="1" t="s">
        <v>0</v>
      </c>
      <c r="E1" s="1" t="s">
        <v>4</v>
      </c>
      <c r="H1" s="1" t="s">
        <v>5</v>
      </c>
      <c r="J1" s="1" t="s">
        <v>8</v>
      </c>
      <c r="L1" s="1" t="s">
        <v>10</v>
      </c>
      <c r="N1" s="1" t="s">
        <v>14</v>
      </c>
      <c r="P1" s="1" t="s">
        <v>18</v>
      </c>
      <c r="S1" s="1" t="s">
        <v>23</v>
      </c>
      <c r="U1" s="1" t="s">
        <v>26</v>
      </c>
      <c r="W1" s="1" t="s">
        <v>28</v>
      </c>
      <c r="AA1" s="1" t="s">
        <v>31</v>
      </c>
      <c r="AC1" s="1" t="s">
        <v>33</v>
      </c>
    </row>
    <row r="2">
      <c r="B2" s="1" t="s">
        <v>34</v>
      </c>
      <c r="C2" s="1" t="s">
        <v>35</v>
      </c>
      <c r="D2" s="1" t="s">
        <v>35</v>
      </c>
      <c r="E2" s="1" t="s">
        <v>36</v>
      </c>
      <c r="F2" s="1" t="s">
        <v>36</v>
      </c>
      <c r="G2" s="1" t="s">
        <v>36</v>
      </c>
      <c r="H2" s="1" t="s">
        <v>37</v>
      </c>
      <c r="I2" s="1" t="s">
        <v>37</v>
      </c>
      <c r="J2" s="1" t="s">
        <v>38</v>
      </c>
      <c r="K2" s="1" t="s">
        <v>38</v>
      </c>
      <c r="L2" s="1" t="s">
        <v>39</v>
      </c>
      <c r="M2" s="1" t="s">
        <v>39</v>
      </c>
      <c r="N2" s="1" t="s">
        <v>41</v>
      </c>
      <c r="O2" s="1" t="s">
        <v>41</v>
      </c>
      <c r="P2" s="1" t="s">
        <v>43</v>
      </c>
      <c r="Q2" s="1" t="s">
        <v>43</v>
      </c>
      <c r="R2" s="1" t="s">
        <v>41</v>
      </c>
      <c r="S2" s="1" t="s">
        <v>46</v>
      </c>
      <c r="T2" s="1" t="s">
        <v>46</v>
      </c>
      <c r="U2" s="1" t="s">
        <v>48</v>
      </c>
      <c r="V2" s="1" t="s">
        <v>48</v>
      </c>
      <c r="W2" s="1" t="s">
        <v>51</v>
      </c>
      <c r="X2" s="1" t="s">
        <v>52</v>
      </c>
      <c r="Y2" s="1" t="s">
        <v>52</v>
      </c>
      <c r="Z2" s="1" t="s">
        <v>55</v>
      </c>
      <c r="AA2" s="1" t="s">
        <v>57</v>
      </c>
    </row>
    <row r="3">
      <c r="B3" s="1" t="s">
        <v>16</v>
      </c>
      <c r="C3" s="1" t="s">
        <v>61</v>
      </c>
      <c r="D3" s="1" t="s">
        <v>47</v>
      </c>
      <c r="E3" s="1" t="s">
        <v>61</v>
      </c>
      <c r="F3" s="1" t="s">
        <v>47</v>
      </c>
      <c r="G3" s="1" t="s">
        <v>64</v>
      </c>
      <c r="H3" s="1" t="s">
        <v>61</v>
      </c>
      <c r="I3" s="1" t="s">
        <v>47</v>
      </c>
      <c r="J3" s="1" t="s">
        <v>61</v>
      </c>
      <c r="K3" s="1" t="s">
        <v>47</v>
      </c>
      <c r="L3" s="1" t="s">
        <v>61</v>
      </c>
      <c r="M3" s="1" t="s">
        <v>47</v>
      </c>
      <c r="N3" s="1" t="s">
        <v>61</v>
      </c>
      <c r="O3" s="1" t="s">
        <v>47</v>
      </c>
      <c r="P3" s="1" t="s">
        <v>61</v>
      </c>
      <c r="Q3" s="1" t="s">
        <v>47</v>
      </c>
      <c r="R3" s="1" t="s">
        <v>64</v>
      </c>
      <c r="S3" s="1" t="s">
        <v>61</v>
      </c>
      <c r="T3" s="1" t="s">
        <v>47</v>
      </c>
      <c r="U3" s="1" t="s">
        <v>61</v>
      </c>
      <c r="V3" s="1" t="s">
        <v>47</v>
      </c>
      <c r="W3" s="1" t="s">
        <v>64</v>
      </c>
      <c r="X3" s="1" t="s">
        <v>61</v>
      </c>
      <c r="Y3" s="1" t="s">
        <v>47</v>
      </c>
      <c r="Z3" s="1" t="s">
        <v>64</v>
      </c>
      <c r="AA3" s="1" t="s">
        <v>69</v>
      </c>
      <c r="AB3" s="1" t="s">
        <v>71</v>
      </c>
    </row>
    <row r="4">
      <c r="A4" s="1">
        <f t="shared" ref="A4:A10" si="5">YEAR(B4)</f>
        <v>2024</v>
      </c>
      <c r="B4" s="4">
        <v>45444.0</v>
      </c>
      <c r="C4" s="1">
        <f>SUMIFS(
    expenses_by_installments!$L:$L, 
    expenses_by_installments!$I:$I, "Egreso", 
    expenses_by_installments!$K:$K, C$3, 
    expenses_by_installments!$J:$J, "No", 
    expenses_by_installments!$B:$B, "&gt;="&amp;$B4, 
    expenses_by_installments!$B:$B, "&lt;="&amp;EOMONTH($B4, 0)
)</f>
        <v>0</v>
      </c>
      <c r="D4" s="1">
        <f>SUMIFS(
    expenses_by_installments!$L:$L, 
    expenses_by_installments!$I:$I, "Egreso", 
    expenses_by_installments!$K:$K, D$3, 
    expenses_by_installments!$J:$J, "No", 
    expenses_by_installments!$B:$B, "&gt;="&amp;$B4, 
    expenses_by_installments!$B:$B, "&lt;="&amp;EOMONTH($B4, 0)
)</f>
        <v>209.0328467</v>
      </c>
      <c r="E4" s="1">
        <f>SUMIFS(
    expenses_by_installments!$L:$L, 
    expenses_by_installments!$I:$I, "Egreso", 
    expenses_by_installments!$J:$J, "Si", 
    expenses_by_installments!$K:$K, E$3, 
    expenses_by_installments!$B:$B, "&gt;="&amp;$B4, 
    expenses_by_installments!$B:$B, "&lt;="&amp;EOMONTH($B4, 0)
)</f>
        <v>0</v>
      </c>
      <c r="F4" s="1">
        <f>SUMIFS(
    expenses_by_installments!$L:$L, 
    expenses_by_installments!$I:$I, "Egreso", 
    expenses_by_installments!$J:$J, "Si", 
    expenses_by_installments!$K:$K, F$3, 
    expenses_by_installments!$B:$B, "&gt;="&amp;$B4, 
    expenses_by_installments!$B:$B, "&lt;="&amp;EOMONTH($B4, 0)
)</f>
        <v>795.5985401</v>
      </c>
      <c r="G4" s="1">
        <f t="shared" ref="G4:G8" si="6">E4+F4</f>
        <v>795.5985401</v>
      </c>
      <c r="H4" s="5">
        <f t="shared" ref="H4:I4" si="1">E4/$G4</f>
        <v>0</v>
      </c>
      <c r="I4" s="5">
        <f t="shared" si="1"/>
        <v>1</v>
      </c>
      <c r="J4" s="1">
        <f t="shared" ref="J4:K4" si="2">E4+C4</f>
        <v>0</v>
      </c>
      <c r="K4" s="1">
        <f t="shared" si="2"/>
        <v>1004.631387</v>
      </c>
      <c r="L4" s="1">
        <f>SUMIFS(
    expenses_by_installments!$L:$L, 
    expenses_by_installments!$I:$I, "Ingreso", 
    expenses_by_installments!$K:$K, L$3, 
    expenses_by_installments!$J:$J, "No", 
    expenses_by_installments!$B:$B, "&gt;="&amp;$B4, 
    expenses_by_installments!$B:$B, "&lt;="&amp;EOMONTH($B4, 0)
)</f>
        <v>0</v>
      </c>
      <c r="M4" s="1">
        <f>SUMIFS(
    expenses_by_installments!$L:$L, 
    expenses_by_installments!$I:$I, "Ingreso", 
    expenses_by_installments!$K:$K, M$3, 
    expenses_by_installments!$J:$J, "No", 
    expenses_by_installments!$B:$B, "&gt;="&amp;$B4, 
    expenses_by_installments!$B:$B, "&lt;="&amp;EOMONTH($B4, 0)
)</f>
        <v>0</v>
      </c>
      <c r="N4" s="1">
        <f>SUMIFS(
    expenses_by_installments!$L:$L, 
    expenses_by_installments!$I:$I, "Ingreso", 
    expenses_by_installments!$K:$K, N$3, 
    expenses_by_installments!$J:$J, "Si",
    expenses_by_installments!$B:$B, "&gt;="&amp;$B4, 
    expenses_by_installments!$B:$B, "&lt;="&amp;EOMONTH($B4, 0)
)</f>
        <v>0</v>
      </c>
      <c r="O4" s="3">
        <v>1500.0</v>
      </c>
      <c r="P4" s="5">
        <v>0.0</v>
      </c>
      <c r="Q4" s="5">
        <v>1.0</v>
      </c>
      <c r="R4" s="1">
        <f t="shared" ref="R4:R8" si="9">N4+O4</f>
        <v>1500</v>
      </c>
      <c r="S4" s="1">
        <f t="shared" ref="S4:T4" si="3">L4+N4</f>
        <v>0</v>
      </c>
      <c r="T4" s="1">
        <f t="shared" si="3"/>
        <v>1500</v>
      </c>
      <c r="U4" s="1">
        <f t="shared" ref="U4:U8" si="11">(S4) - C4 - (G4 * P4)</f>
        <v>0</v>
      </c>
      <c r="V4" s="1">
        <f t="shared" ref="V4:V8" si="12"> T4 - D4 - (Q4 * G4)</f>
        <v>495.3686131</v>
      </c>
      <c r="W4" s="1">
        <f t="shared" ref="W4:W8" si="13">R4-G4</f>
        <v>704.4014599</v>
      </c>
      <c r="X4" s="1" t="str">
        <f t="shared" ref="X4:Y4" si="4">U4/S4</f>
        <v>#DIV/0!</v>
      </c>
      <c r="Y4" s="5">
        <f t="shared" si="4"/>
        <v>0.3302457421</v>
      </c>
      <c r="Z4" s="5">
        <f t="shared" ref="Z4:Z8" si="15">W4/R4</f>
        <v>0.4696009732</v>
      </c>
      <c r="AA4" s="1">
        <f t="shared" ref="AA4:AA8" si="16">MAX(0, (P4 * G4) - E4)</f>
        <v>0</v>
      </c>
      <c r="AB4" s="1">
        <f t="shared" ref="AB4:AB8" si="17">MAX(0, (Q4 * G4) - F4)</f>
        <v>0</v>
      </c>
      <c r="AC4" s="1">
        <f t="shared" ref="AC4:AC8" si="18">R4-K4-J4</f>
        <v>495.3686131</v>
      </c>
    </row>
    <row r="5">
      <c r="A5" s="1">
        <f t="shared" si="5"/>
        <v>2024</v>
      </c>
      <c r="B5" s="4">
        <v>45474.0</v>
      </c>
      <c r="C5" s="1">
        <f>SUMIFS(
    expenses_by_installments!$L:$L, 
    expenses_by_installments!$I:$I, "Egreso", 
    expenses_by_installments!$K:$K, C$3, 
    expenses_by_installments!$J:$J, "No", 
    expenses_by_installments!$B:$B, "&gt;="&amp;$B5, 
    expenses_by_installments!$B:$B, "&lt;="&amp;EOMONTH($B5, 0)
)</f>
        <v>0</v>
      </c>
      <c r="D5" s="1">
        <f>SUMIFS(
    expenses_by_installments!$L:$L, 
    expenses_by_installments!$I:$I, "Egreso", 
    expenses_by_installments!$K:$K, D$3, 
    expenses_by_installments!$J:$J, "No", 
    expenses_by_installments!$B:$B, "&gt;="&amp;$B5, 
    expenses_by_installments!$B:$B, "&lt;="&amp;EOMONTH($B5, 0)
)</f>
        <v>80.94615385</v>
      </c>
      <c r="E5" s="1">
        <f>SUMIFS(
    expenses_by_installments!$L:$L, 
    expenses_by_installments!$I:$I, "Egreso", 
    expenses_by_installments!$J:$J, "Si", 
    expenses_by_installments!$K:$K, E$3, 
    expenses_by_installments!$B:$B, "&gt;="&amp;$B5, 
    expenses_by_installments!$B:$B, "&lt;="&amp;EOMONTH($B5, 0)
)</f>
        <v>0</v>
      </c>
      <c r="F5" s="1">
        <f>SUMIFS(
    expenses_by_installments!$L:$L, 
    expenses_by_installments!$I:$I, "Egreso", 
    expenses_by_installments!$J:$J, "Si", 
    expenses_by_installments!$K:$K, F$3, 
    expenses_by_installments!$B:$B, "&gt;="&amp;$B5, 
    expenses_by_installments!$B:$B, "&lt;="&amp;EOMONTH($B5, 0)
)</f>
        <v>967.1615385</v>
      </c>
      <c r="G5" s="1">
        <f t="shared" si="6"/>
        <v>967.1615385</v>
      </c>
      <c r="H5" s="5">
        <f t="shared" ref="H5:I5" si="7">E5/$G5</f>
        <v>0</v>
      </c>
      <c r="I5" s="5">
        <f t="shared" si="7"/>
        <v>1</v>
      </c>
      <c r="J5" s="1">
        <f t="shared" ref="J5:K5" si="8">E5+C5</f>
        <v>0</v>
      </c>
      <c r="K5" s="1">
        <f t="shared" si="8"/>
        <v>1048.107692</v>
      </c>
      <c r="L5" s="1">
        <f>SUMIFS(
    expenses_by_installments!$L:$L, 
    expenses_by_installments!$I:$I, "Ingreso", 
    expenses_by_installments!$K:$K, L$3, 
    expenses_by_installments!$J:$J, "No", 
    expenses_by_installments!$B:$B, "&gt;="&amp;$B5, 
    expenses_by_installments!$B:$B, "&lt;="&amp;EOMONTH($B5, 0)
)</f>
        <v>0</v>
      </c>
      <c r="M5" s="1">
        <f>SUMIFS(
    expenses_by_installments!$L:$L, 
    expenses_by_installments!$I:$I, "Ingreso", 
    expenses_by_installments!$K:$K, M$3, 
    expenses_by_installments!$J:$J, "No", 
    expenses_by_installments!$B:$B, "&gt;="&amp;$B5, 
    expenses_by_installments!$B:$B, "&lt;="&amp;EOMONTH($B5, 0)
)</f>
        <v>0</v>
      </c>
      <c r="N5" s="1">
        <f>SUMIFS(
    expenses_by_installments!$L:$L, 
    expenses_by_installments!$I:$I, "Ingreso", 
    expenses_by_installments!$K:$K, N$3, 
    expenses_by_installments!$J:$J, "Si",
    expenses_by_installments!$B:$B, "&gt;="&amp;$B5, 
    expenses_by_installments!$B:$B, "&lt;="&amp;EOMONTH($B5, 0)
)</f>
        <v>0</v>
      </c>
      <c r="O5" s="3">
        <v>1500.0</v>
      </c>
      <c r="P5" s="5">
        <v>0.0</v>
      </c>
      <c r="Q5" s="5">
        <v>1.0</v>
      </c>
      <c r="R5" s="1">
        <f t="shared" si="9"/>
        <v>1500</v>
      </c>
      <c r="S5" s="1">
        <f t="shared" ref="S5:T5" si="10">L5+N5</f>
        <v>0</v>
      </c>
      <c r="T5" s="1">
        <f t="shared" si="10"/>
        <v>1500</v>
      </c>
      <c r="U5" s="1">
        <f t="shared" si="11"/>
        <v>0</v>
      </c>
      <c r="V5" s="1">
        <f t="shared" si="12"/>
        <v>451.8923077</v>
      </c>
      <c r="W5" s="1">
        <f t="shared" si="13"/>
        <v>532.8384615</v>
      </c>
      <c r="X5" s="1" t="str">
        <f t="shared" ref="X5:Y5" si="14">U5/S5</f>
        <v>#DIV/0!</v>
      </c>
      <c r="Y5" s="5">
        <f t="shared" si="14"/>
        <v>0.3012615385</v>
      </c>
      <c r="Z5" s="5">
        <f t="shared" si="15"/>
        <v>0.355225641</v>
      </c>
      <c r="AA5" s="1">
        <f t="shared" si="16"/>
        <v>0</v>
      </c>
      <c r="AB5" s="1">
        <f t="shared" si="17"/>
        <v>0</v>
      </c>
      <c r="AC5" s="1">
        <f t="shared" si="18"/>
        <v>451.8923077</v>
      </c>
    </row>
    <row r="6">
      <c r="A6" s="1">
        <f t="shared" si="5"/>
        <v>2024</v>
      </c>
      <c r="B6" s="4">
        <v>45505.0</v>
      </c>
      <c r="C6" s="1">
        <f>SUMIFS(
    expenses_by_installments!$L:$L, 
    expenses_by_installments!$I:$I, "Egreso", 
    expenses_by_installments!$K:$K, C$3, 
    expenses_by_installments!$J:$J, "No", 
    expenses_by_installments!$B:$B, "&gt;="&amp;$B6, 
    expenses_by_installments!$B:$B, "&lt;="&amp;EOMONTH($B6, 0)
)</f>
        <v>0</v>
      </c>
      <c r="D6" s="1">
        <f>SUMIFS(
    expenses_by_installments!$L:$L, 
    expenses_by_installments!$I:$I, "Egreso", 
    expenses_by_installments!$K:$K, D$3, 
    expenses_by_installments!$J:$J, "No", 
    expenses_by_installments!$B:$B, "&gt;="&amp;$B6, 
    expenses_by_installments!$B:$B, "&lt;="&amp;EOMONTH($B6, 0)
)</f>
        <v>66.34008097</v>
      </c>
      <c r="E6" s="1">
        <f>SUMIFS(
    expenses_by_installments!$L:$L, 
    expenses_by_installments!$I:$I, "Egreso", 
    expenses_by_installments!$J:$J, "Si", 
    expenses_by_installments!$K:$K, E$3, 
    expenses_by_installments!$B:$B, "&gt;="&amp;$B6, 
    expenses_by_installments!$B:$B, "&lt;="&amp;EOMONTH($B6, 0)
)</f>
        <v>0</v>
      </c>
      <c r="F6" s="1">
        <f>SUMIFS(
    expenses_by_installments!$L:$L, 
    expenses_by_installments!$I:$I, "Egreso", 
    expenses_by_installments!$J:$J, "Si", 
    expenses_by_installments!$K:$K, F$3, 
    expenses_by_installments!$B:$B, "&gt;="&amp;$B6, 
    expenses_by_installments!$B:$B, "&lt;="&amp;EOMONTH($B6, 0)
)</f>
        <v>140.2105263</v>
      </c>
      <c r="G6" s="1">
        <f t="shared" si="6"/>
        <v>140.2105263</v>
      </c>
      <c r="H6" s="5">
        <f t="shared" ref="H6:I6" si="19">E6/$G6</f>
        <v>0</v>
      </c>
      <c r="I6" s="5">
        <f t="shared" si="19"/>
        <v>1</v>
      </c>
      <c r="J6" s="1">
        <f t="shared" ref="J6:K6" si="20">E6+C6</f>
        <v>0</v>
      </c>
      <c r="K6" s="1">
        <f t="shared" si="20"/>
        <v>206.5506073</v>
      </c>
      <c r="L6" s="1">
        <f>SUMIFS(
    expenses_by_installments!$L:$L, 
    expenses_by_installments!$I:$I, "Ingreso", 
    expenses_by_installments!$K:$K, L$3, 
    expenses_by_installments!$J:$J, "No", 
    expenses_by_installments!$B:$B, "&gt;="&amp;$B6, 
    expenses_by_installments!$B:$B, "&lt;="&amp;EOMONTH($B6, 0)
)</f>
        <v>0</v>
      </c>
      <c r="M6" s="1">
        <f>SUMIFS(
    expenses_by_installments!$L:$L, 
    expenses_by_installments!$I:$I, "Ingreso", 
    expenses_by_installments!$K:$K, M$3, 
    expenses_by_installments!$J:$J, "No", 
    expenses_by_installments!$B:$B, "&gt;="&amp;$B6, 
    expenses_by_installments!$B:$B, "&lt;="&amp;EOMONTH($B6, 0)
)</f>
        <v>0</v>
      </c>
      <c r="N6" s="1">
        <f>SUMIFS(
    expenses_by_installments!$L:$L, 
    expenses_by_installments!$I:$I, "Ingreso", 
    expenses_by_installments!$K:$K, N$3, 
    expenses_by_installments!$J:$J, "Si",
    expenses_by_installments!$B:$B, "&gt;="&amp;$B6, 
    expenses_by_installments!$B:$B, "&lt;="&amp;EOMONTH($B6, 0)
)</f>
        <v>0</v>
      </c>
      <c r="O6" s="1">
        <f>SUMIFS(
    expenses_by_installments!$L:$L, 
    expenses_by_installments!$I:$I, "Ingreso", 
    expenses_by_installments!$K:$K, O$3, 
    expenses_by_installments!$J:$J, "Si",
    expenses_by_installments!$B:$B, "&gt;="&amp;$B6, 
    expenses_by_installments!$B:$B, "&lt;="&amp;EOMONTH($B6, 0)
)</f>
        <v>0</v>
      </c>
      <c r="P6" s="5">
        <v>0.0</v>
      </c>
      <c r="Q6" s="5">
        <v>1.0</v>
      </c>
      <c r="R6" s="1">
        <f t="shared" si="9"/>
        <v>0</v>
      </c>
      <c r="S6" s="1">
        <f t="shared" ref="S6:T6" si="21">L6+N6</f>
        <v>0</v>
      </c>
      <c r="T6" s="1">
        <f t="shared" si="21"/>
        <v>0</v>
      </c>
      <c r="U6" s="1">
        <f t="shared" si="11"/>
        <v>0</v>
      </c>
      <c r="V6" s="1">
        <f t="shared" si="12"/>
        <v>-206.5506073</v>
      </c>
      <c r="W6" s="1">
        <f t="shared" si="13"/>
        <v>-140.2105263</v>
      </c>
      <c r="X6" s="1" t="str">
        <f t="shared" ref="X6:Y6" si="22">U6/S6</f>
        <v>#DIV/0!</v>
      </c>
      <c r="Y6" s="1" t="str">
        <f t="shared" si="22"/>
        <v>#DIV/0!</v>
      </c>
      <c r="Z6" s="1" t="str">
        <f t="shared" si="15"/>
        <v>#DIV/0!</v>
      </c>
      <c r="AA6" s="1">
        <f t="shared" si="16"/>
        <v>0</v>
      </c>
      <c r="AB6" s="1">
        <f t="shared" si="17"/>
        <v>0</v>
      </c>
      <c r="AC6" s="1">
        <f t="shared" si="18"/>
        <v>-206.5506073</v>
      </c>
    </row>
    <row r="7">
      <c r="A7" s="1">
        <f t="shared" si="5"/>
        <v>2024</v>
      </c>
      <c r="B7" s="4">
        <v>45536.0</v>
      </c>
      <c r="C7" s="1">
        <f>SUMIFS(
    expenses_by_installments!$L:$L, 
    expenses_by_installments!$I:$I, "Egreso", 
    expenses_by_installments!$K:$K, C$3, 
    expenses_by_installments!$J:$J, "No", 
    expenses_by_installments!$B:$B, "&gt;="&amp;$B7, 
    expenses_by_installments!$B:$B, "&lt;="&amp;EOMONTH($B7, 0)
)</f>
        <v>0</v>
      </c>
      <c r="D7" s="1">
        <f>SUMIFS(
    expenses_by_installments!$L:$L, 
    expenses_by_installments!$I:$I, "Egreso", 
    expenses_by_installments!$K:$K, D$3, 
    expenses_by_installments!$J:$J, "No", 
    expenses_by_installments!$B:$B, "&gt;="&amp;$B7, 
    expenses_by_installments!$B:$B, "&lt;="&amp;EOMONTH($B7, 0)
)</f>
        <v>45.12396694</v>
      </c>
      <c r="E7" s="1">
        <f>SUMIFS(
    expenses_by_installments!$L:$L, 
    expenses_by_installments!$I:$I, "Egreso", 
    expenses_by_installments!$J:$J, "Si", 
    expenses_by_installments!$K:$K, E$3, 
    expenses_by_installments!$B:$B, "&gt;="&amp;$B7, 
    expenses_by_installments!$B:$B, "&lt;="&amp;EOMONTH($B7, 0)
)</f>
        <v>0</v>
      </c>
      <c r="F7" s="1">
        <f>SUMIFS(
    expenses_by_installments!$L:$L, 
    expenses_by_installments!$I:$I, "Egreso", 
    expenses_by_installments!$J:$J, "Si", 
    expenses_by_installments!$K:$K, F$3, 
    expenses_by_installments!$B:$B, "&gt;="&amp;$B7, 
    expenses_by_installments!$B:$B, "&lt;="&amp;EOMONTH($B7, 0)
)</f>
        <v>116.107438</v>
      </c>
      <c r="G7" s="1">
        <f t="shared" si="6"/>
        <v>116.107438</v>
      </c>
      <c r="H7" s="5">
        <f t="shared" ref="H7:I7" si="23">E7/$G7</f>
        <v>0</v>
      </c>
      <c r="I7" s="5">
        <f t="shared" si="23"/>
        <v>1</v>
      </c>
      <c r="J7" s="1">
        <f t="shared" ref="J7:K7" si="24">E7+C7</f>
        <v>0</v>
      </c>
      <c r="K7" s="1">
        <f t="shared" si="24"/>
        <v>161.231405</v>
      </c>
      <c r="L7" s="1">
        <f>SUMIFS(
    expenses_by_installments!$L:$L, 
    expenses_by_installments!$I:$I, "Ingreso", 
    expenses_by_installments!$K:$K, L$3, 
    expenses_by_installments!$J:$J, "No", 
    expenses_by_installments!$B:$B, "&gt;="&amp;$B7, 
    expenses_by_installments!$B:$B, "&lt;="&amp;EOMONTH($B7, 0)
)</f>
        <v>0</v>
      </c>
      <c r="M7" s="1">
        <f>SUMIFS(
    expenses_by_installments!$L:$L, 
    expenses_by_installments!$I:$I, "Ingreso", 
    expenses_by_installments!$K:$K, M$3, 
    expenses_by_installments!$J:$J, "No", 
    expenses_by_installments!$B:$B, "&gt;="&amp;$B7, 
    expenses_by_installments!$B:$B, "&lt;="&amp;EOMONTH($B7, 0)
)</f>
        <v>0</v>
      </c>
      <c r="N7" s="1">
        <f>SUMIFS(
    expenses_by_installments!$L:$L, 
    expenses_by_installments!$I:$I, "Ingreso", 
    expenses_by_installments!$K:$K, N$3, 
    expenses_by_installments!$J:$J, "Si",
    expenses_by_installments!$B:$B, "&gt;="&amp;$B7, 
    expenses_by_installments!$B:$B, "&lt;="&amp;EOMONTH($B7, 0)
)</f>
        <v>0</v>
      </c>
      <c r="O7" s="1">
        <f>SUMIFS(
    expenses_by_installments!$L:$L, 
    expenses_by_installments!$I:$I, "Ingreso", 
    expenses_by_installments!$K:$K, O$3, 
    expenses_by_installments!$J:$J, "Si",
    expenses_by_installments!$B:$B, "&gt;="&amp;$B7, 
    expenses_by_installments!$B:$B, "&lt;="&amp;EOMONTH($B7, 0)
)</f>
        <v>0</v>
      </c>
      <c r="P7" s="5">
        <v>0.0</v>
      </c>
      <c r="Q7" s="5">
        <v>1.0</v>
      </c>
      <c r="R7" s="1">
        <f t="shared" si="9"/>
        <v>0</v>
      </c>
      <c r="S7" s="1">
        <f t="shared" ref="S7:T7" si="25">L7+N7</f>
        <v>0</v>
      </c>
      <c r="T7" s="1">
        <f t="shared" si="25"/>
        <v>0</v>
      </c>
      <c r="U7" s="1">
        <f t="shared" si="11"/>
        <v>0</v>
      </c>
      <c r="V7" s="1">
        <f t="shared" si="12"/>
        <v>-161.231405</v>
      </c>
      <c r="W7" s="1">
        <f t="shared" si="13"/>
        <v>-116.107438</v>
      </c>
      <c r="X7" s="1" t="str">
        <f t="shared" ref="X7:Y7" si="26">U7/S7</f>
        <v>#DIV/0!</v>
      </c>
      <c r="Y7" s="1" t="str">
        <f t="shared" si="26"/>
        <v>#DIV/0!</v>
      </c>
      <c r="Z7" s="1" t="str">
        <f t="shared" si="15"/>
        <v>#DIV/0!</v>
      </c>
      <c r="AA7" s="1">
        <f t="shared" si="16"/>
        <v>0</v>
      </c>
      <c r="AB7" s="1">
        <f t="shared" si="17"/>
        <v>0</v>
      </c>
      <c r="AC7" s="1">
        <f t="shared" si="18"/>
        <v>-161.231405</v>
      </c>
    </row>
    <row r="8">
      <c r="A8" s="1">
        <f t="shared" si="5"/>
        <v>2024</v>
      </c>
      <c r="B8" s="4">
        <v>45566.0</v>
      </c>
      <c r="C8" s="1">
        <f>SUMIFS(
    expenses_by_installments!$L:$L, 
    expenses_by_installments!$I:$I, "Egreso", 
    expenses_by_installments!$K:$K, C$3, 
    expenses_by_installments!$J:$J, "No", 
    expenses_by_installments!$B:$B, "&gt;="&amp;$B8, 
    expenses_by_installments!$B:$B, "&lt;="&amp;EOMONTH($B8, 0)
)</f>
        <v>0</v>
      </c>
      <c r="D8" s="1">
        <f>SUMIFS(
    expenses_by_installments!$L:$L, 
    expenses_by_installments!$I:$I, "Egreso", 
    expenses_by_installments!$K:$K, D$3, 
    expenses_by_installments!$J:$J, "No", 
    expenses_by_installments!$B:$B, "&gt;="&amp;$B8, 
    expenses_by_installments!$B:$B, "&lt;="&amp;EOMONTH($B8, 0)
)</f>
        <v>47.89473684</v>
      </c>
      <c r="E8" s="1">
        <f>SUMIFS(
    expenses_by_installments!$L:$L, 
    expenses_by_installments!$I:$I, "Egreso", 
    expenses_by_installments!$J:$J, "Si", 
    expenses_by_installments!$K:$K, E$3, 
    expenses_by_installments!$B:$B, "&gt;="&amp;$B8, 
    expenses_by_installments!$B:$B, "&lt;="&amp;EOMONTH($B8, 0)
)</f>
        <v>0</v>
      </c>
      <c r="F8" s="1">
        <f>SUMIFS(
    expenses_by_installments!$L:$L, 
    expenses_by_installments!$I:$I, "Egreso", 
    expenses_by_installments!$J:$J, "Si", 
    expenses_by_installments!$K:$K, F$3, 
    expenses_by_installments!$B:$B, "&gt;="&amp;$B8, 
    expenses_by_installments!$B:$B, "&lt;="&amp;EOMONTH($B8, 0)
)</f>
        <v>28.43859649</v>
      </c>
      <c r="G8" s="1">
        <f t="shared" si="6"/>
        <v>28.43859649</v>
      </c>
      <c r="H8" s="5">
        <f t="shared" ref="H8:I8" si="27">E8/$G8</f>
        <v>0</v>
      </c>
      <c r="I8" s="5">
        <f t="shared" si="27"/>
        <v>1</v>
      </c>
      <c r="J8" s="1">
        <f t="shared" ref="J8:K8" si="28">E8+C8</f>
        <v>0</v>
      </c>
      <c r="K8" s="1">
        <f t="shared" si="28"/>
        <v>76.33333333</v>
      </c>
      <c r="L8" s="1">
        <f>SUMIFS(
    expenses_by_installments!$L:$L, 
    expenses_by_installments!$I:$I, "Ingreso", 
    expenses_by_installments!$K:$K, L$3, 
    expenses_by_installments!$J:$J, "No", 
    expenses_by_installments!$B:$B, "&gt;="&amp;$B8, 
    expenses_by_installments!$B:$B, "&lt;="&amp;EOMONTH($B8, 0)
)</f>
        <v>0</v>
      </c>
      <c r="M8" s="1">
        <f>SUMIFS(
    expenses_by_installments!$L:$L, 
    expenses_by_installments!$I:$I, "Ingreso", 
    expenses_by_installments!$K:$K, M$3, 
    expenses_by_installments!$J:$J, "No", 
    expenses_by_installments!$B:$B, "&gt;="&amp;$B8, 
    expenses_by_installments!$B:$B, "&lt;="&amp;EOMONTH($B8, 0)
)</f>
        <v>0</v>
      </c>
      <c r="N8" s="1">
        <f>SUMIFS(
    expenses_by_installments!$L:$L, 
    expenses_by_installments!$I:$I, "Ingreso", 
    expenses_by_installments!$K:$K, N$3, 
    expenses_by_installments!$J:$J, "Si",
    expenses_by_installments!$B:$B, "&gt;="&amp;$B8, 
    expenses_by_installments!$B:$B, "&lt;="&amp;EOMONTH($B8, 0)
)</f>
        <v>0</v>
      </c>
      <c r="O8" s="1">
        <f>SUMIFS(
    expenses_by_installments!$L:$L, 
    expenses_by_installments!$I:$I, "Ingreso", 
    expenses_by_installments!$K:$K, O$3, 
    expenses_by_installments!$J:$J, "Si",
    expenses_by_installments!$B:$B, "&gt;="&amp;$B8, 
    expenses_by_installments!$B:$B, "&lt;="&amp;EOMONTH($B8, 0)
)</f>
        <v>0</v>
      </c>
      <c r="P8" s="5">
        <v>0.0</v>
      </c>
      <c r="Q8" s="5">
        <v>1.0</v>
      </c>
      <c r="R8" s="1">
        <f t="shared" si="9"/>
        <v>0</v>
      </c>
      <c r="S8" s="1">
        <f t="shared" ref="S8:T8" si="29">L8+N8</f>
        <v>0</v>
      </c>
      <c r="T8" s="1">
        <f t="shared" si="29"/>
        <v>0</v>
      </c>
      <c r="U8" s="1">
        <f t="shared" si="11"/>
        <v>0</v>
      </c>
      <c r="V8" s="1">
        <f t="shared" si="12"/>
        <v>-76.33333333</v>
      </c>
      <c r="W8" s="1">
        <f t="shared" si="13"/>
        <v>-28.43859649</v>
      </c>
      <c r="X8" s="1" t="str">
        <f t="shared" ref="X8:Y8" si="30">U8/S8</f>
        <v>#DIV/0!</v>
      </c>
      <c r="Y8" s="1" t="str">
        <f t="shared" si="30"/>
        <v>#DIV/0!</v>
      </c>
      <c r="Z8" s="1" t="str">
        <f t="shared" si="15"/>
        <v>#DIV/0!</v>
      </c>
      <c r="AA8" s="1">
        <f t="shared" si="16"/>
        <v>0</v>
      </c>
      <c r="AB8" s="1">
        <f t="shared" si="17"/>
        <v>0</v>
      </c>
      <c r="AC8" s="1">
        <f t="shared" si="18"/>
        <v>-76.33333333</v>
      </c>
    </row>
    <row r="9">
      <c r="A9" s="1">
        <f t="shared" si="5"/>
        <v>2024</v>
      </c>
      <c r="B9" s="4">
        <v>45597.0</v>
      </c>
      <c r="C9" s="1">
        <f>SUMIFS(
    expenses_by_installments!$L:$L, 
    expenses_by_installments!$I:$I, "Egreso", 
    expenses_by_installments!$K:$K, C$3, 
    expenses_by_installments!$J:$J, "No", 
    expenses_by_installments!$B:$B, "&gt;="&amp;$B8, 
    expenses_by_installments!$B:$B, "&lt;="&amp;EOMONTH($B8, 0)
)</f>
        <v>0</v>
      </c>
      <c r="D9" s="1">
        <f>SUMIFS(
    expenses_by_installments!$L:$L, 
    expenses_by_installments!$I:$I, "Egreso", 
    expenses_by_installments!$K:$K, D$3, 
    expenses_by_installments!$J:$J, "No", 
    expenses_by_installments!$B:$B, "&gt;="&amp;$B8, 
    expenses_by_installments!$B:$B, "&lt;="&amp;EOMONTH($B8, 0)
)</f>
        <v>47.89473684</v>
      </c>
      <c r="E9" s="1">
        <f>SUMIFS(
    expenses_by_installments!$L:$L, 
    expenses_by_installments!$I:$I, "Egreso", 
    expenses_by_installments!$J:$J, "Si", 
    expenses_by_installments!$K:$K, E$3, 
    expenses_by_installments!$B:$B, "&gt;="&amp;$B8, 
    expenses_by_installments!$B:$B, "&lt;="&amp;EOMONTH($B8, 0)
)</f>
        <v>0</v>
      </c>
      <c r="F9" s="1">
        <f>SUMIFS(
    expenses_by_installments!$L:$L, 
    expenses_by_installments!$I:$I, "Egreso", 
    expenses_by_installments!$J:$J, "Si", 
    expenses_by_installments!$K:$K, F$3, 
    expenses_by_installments!$B:$B, "&gt;="&amp;$B8, 
    expenses_by_installments!$B:$B, "&lt;="&amp;EOMONTH($B8, 0)
)</f>
        <v>28.43859649</v>
      </c>
      <c r="G9" s="1">
        <f>E8+F8</f>
        <v>28.43859649</v>
      </c>
      <c r="H9" s="5">
        <f t="shared" ref="H9:I9" si="31">E8/$G8</f>
        <v>0</v>
      </c>
      <c r="I9" s="5">
        <f t="shared" si="31"/>
        <v>1</v>
      </c>
      <c r="J9" s="1">
        <f t="shared" ref="J9:K9" si="32">E8+C8</f>
        <v>0</v>
      </c>
      <c r="K9" s="1">
        <f t="shared" si="32"/>
        <v>76.33333333</v>
      </c>
      <c r="L9" s="1">
        <f>SUMIFS(
    expenses_by_installments!$L:$L, 
    expenses_by_installments!$I:$I, "Ingreso", 
    expenses_by_installments!$K:$K, L$3, 
    expenses_by_installments!$J:$J, "No", 
    expenses_by_installments!$B:$B, "&gt;="&amp;$B8, 
    expenses_by_installments!$B:$B, "&lt;="&amp;EOMONTH($B8, 0)
)</f>
        <v>0</v>
      </c>
      <c r="M9" s="1">
        <f>SUMIFS(
    expenses_by_installments!$L:$L, 
    expenses_by_installments!$I:$I, "Ingreso", 
    expenses_by_installments!$K:$K, M$3, 
    expenses_by_installments!$J:$J, "No", 
    expenses_by_installments!$B:$B, "&gt;="&amp;$B8, 
    expenses_by_installments!$B:$B, "&lt;="&amp;EOMONTH($B8, 0)
)</f>
        <v>0</v>
      </c>
      <c r="N9" s="1">
        <f>SUMIFS(
    expenses_by_installments!$L:$L, 
    expenses_by_installments!$I:$I, "Ingreso", 
    expenses_by_installments!$K:$K, N$3, 
    expenses_by_installments!$J:$J, "Si",
    expenses_by_installments!$B:$B, "&gt;="&amp;$B8, 
    expenses_by_installments!$B:$B, "&lt;="&amp;EOMONTH($B8, 0)
)</f>
        <v>0</v>
      </c>
      <c r="O9" s="1">
        <f>SUMIFS(
    expenses_by_installments!$L:$L, 
    expenses_by_installments!$I:$I, "Ingreso", 
    expenses_by_installments!$K:$K, O$3, 
    expenses_by_installments!$J:$J, "Si",
    expenses_by_installments!$B:$B, "&gt;="&amp;$B8, 
    expenses_by_installments!$B:$B, "&lt;="&amp;EOMONTH($B8, 0)
)</f>
        <v>0</v>
      </c>
      <c r="P9" s="5">
        <v>0.0</v>
      </c>
      <c r="Q9" s="5">
        <v>0.0</v>
      </c>
      <c r="R9" s="1">
        <f>N8+O8</f>
        <v>0</v>
      </c>
      <c r="S9" s="1">
        <f t="shared" ref="S9:T9" si="33">L8+N8</f>
        <v>0</v>
      </c>
      <c r="T9" s="1">
        <f t="shared" si="33"/>
        <v>0</v>
      </c>
      <c r="U9" s="1">
        <f>(S8) - C8 - (G8 * P8)</f>
        <v>0</v>
      </c>
      <c r="V9" s="1">
        <f> T8 - D8 - (Q8 * G8)</f>
        <v>-76.33333333</v>
      </c>
      <c r="W9" s="1">
        <f>R8-G8</f>
        <v>-28.43859649</v>
      </c>
      <c r="X9" s="5" t="str">
        <f t="shared" ref="X9:Y9" si="34">U8/S8</f>
        <v>#DIV/0!</v>
      </c>
      <c r="Y9" s="5" t="str">
        <f t="shared" si="34"/>
        <v>#DIV/0!</v>
      </c>
      <c r="Z9" s="5" t="str">
        <f>W8/R8</f>
        <v>#DIV/0!</v>
      </c>
      <c r="AA9" s="1">
        <f>MAX(0, (P8 * G8) - E8)</f>
        <v>0</v>
      </c>
      <c r="AB9" s="1">
        <f>MAX(0, (Q8 * G8) - F8)</f>
        <v>0</v>
      </c>
      <c r="AC9" s="1">
        <f>R8-K8-J8</f>
        <v>-76.33333333</v>
      </c>
    </row>
    <row r="10">
      <c r="A10" s="1">
        <f t="shared" si="5"/>
        <v>2024</v>
      </c>
      <c r="B10" s="4">
        <v>45627.0</v>
      </c>
      <c r="C10" s="1">
        <f>SUMIFS(
    expenses_by_installments!$L:$L, 
    expenses_by_installments!$I:$I, "Egreso", 
    expenses_by_installments!$K:$K, C$3, 
    expenses_by_installments!$J:$J, "No", 
    expenses_by_installments!$B:$B, "&gt;="&amp;$B8, 
    expenses_by_installments!$B:$B, "&lt;="&amp;EOMONTH($B8, 0)
)</f>
        <v>0</v>
      </c>
      <c r="D10" s="1">
        <f>SUMIFS(
    expenses_by_installments!$L:$L, 
    expenses_by_installments!$I:$I, "Egreso", 
    expenses_by_installments!$K:$K, D$3, 
    expenses_by_installments!$J:$J, "No", 
    expenses_by_installments!$B:$B, "&gt;="&amp;$B8, 
    expenses_by_installments!$B:$B, "&lt;="&amp;EOMONTH($B8, 0)
)</f>
        <v>47.89473684</v>
      </c>
      <c r="E10" s="1">
        <f>SUMIFS(
    expenses_by_installments!$L:$L, 
    expenses_by_installments!$I:$I, "Egreso", 
    expenses_by_installments!$J:$J, "Si", 
    expenses_by_installments!$K:$K, E$3, 
    expenses_by_installments!$B:$B, "&gt;="&amp;$B8, 
    expenses_by_installments!$B:$B, "&lt;="&amp;EOMONTH($B8, 0)
)</f>
        <v>0</v>
      </c>
      <c r="F10" s="1">
        <f>SUMIFS(
    expenses_by_installments!$L:$L, 
    expenses_by_installments!$I:$I, "Egreso", 
    expenses_by_installments!$J:$J, "Si", 
    expenses_by_installments!$K:$K, F$3, 
    expenses_by_installments!$B:$B, "&gt;="&amp;$B8, 
    expenses_by_installments!$B:$B, "&lt;="&amp;EOMONTH($B8, 0)
)</f>
        <v>28.43859649</v>
      </c>
      <c r="G10" s="1">
        <f>E8+F8</f>
        <v>28.43859649</v>
      </c>
      <c r="H10" s="5">
        <f t="shared" ref="H10:I10" si="35">E8/$G8</f>
        <v>0</v>
      </c>
      <c r="I10" s="5">
        <f t="shared" si="35"/>
        <v>1</v>
      </c>
      <c r="J10" s="1">
        <f t="shared" ref="J10:K10" si="36">E8+C8</f>
        <v>0</v>
      </c>
      <c r="K10" s="1">
        <f t="shared" si="36"/>
        <v>76.33333333</v>
      </c>
      <c r="L10" s="1">
        <f>SUMIFS(
    expenses_by_installments!$L:$L, 
    expenses_by_installments!$I:$I, "Ingreso", 
    expenses_by_installments!$K:$K, L$3, 
    expenses_by_installments!$J:$J, "No", 
    expenses_by_installments!$B:$B, "&gt;="&amp;$B8, 
    expenses_by_installments!$B:$B, "&lt;="&amp;EOMONTH($B8, 0)
)</f>
        <v>0</v>
      </c>
      <c r="M10" s="1">
        <f>SUMIFS(
    expenses_by_installments!$L:$L, 
    expenses_by_installments!$I:$I, "Ingreso", 
    expenses_by_installments!$K:$K, M$3, 
    expenses_by_installments!$J:$J, "No", 
    expenses_by_installments!$B:$B, "&gt;="&amp;$B8, 
    expenses_by_installments!$B:$B, "&lt;="&amp;EOMONTH($B8, 0)
)</f>
        <v>0</v>
      </c>
      <c r="N10" s="1">
        <f>SUMIFS(
    expenses_by_installments!$L:$L, 
    expenses_by_installments!$I:$I, "Ingreso", 
    expenses_by_installments!$K:$K, N$3, 
    expenses_by_installments!$J:$J, "Si",
    expenses_by_installments!$B:$B, "&gt;="&amp;$B8, 
    expenses_by_installments!$B:$B, "&lt;="&amp;EOMONTH($B8, 0)
)</f>
        <v>0</v>
      </c>
      <c r="O10" s="1">
        <f>SUMIFS(
    expenses_by_installments!$L:$L, 
    expenses_by_installments!$I:$I, "Ingreso", 
    expenses_by_installments!$K:$K, O$3, 
    expenses_by_installments!$J:$J, "Si",
    expenses_by_installments!$B:$B, "&gt;="&amp;$B8, 
    expenses_by_installments!$B:$B, "&lt;="&amp;EOMONTH($B8, 0)
)</f>
        <v>0</v>
      </c>
      <c r="P10" s="5">
        <v>0.0</v>
      </c>
      <c r="Q10" s="5">
        <v>0.0</v>
      </c>
      <c r="R10" s="1">
        <f>N8+O8</f>
        <v>0</v>
      </c>
      <c r="S10" s="1">
        <f t="shared" ref="S10:T10" si="37">L8+N8</f>
        <v>0</v>
      </c>
      <c r="T10" s="1">
        <f t="shared" si="37"/>
        <v>0</v>
      </c>
      <c r="U10" s="1">
        <f>(S8) - C8 - (G8 * P8)</f>
        <v>0</v>
      </c>
      <c r="V10" s="1">
        <f> T8 - D8 - (Q8 * G8)</f>
        <v>-76.33333333</v>
      </c>
      <c r="W10" s="1">
        <f>R8-G8</f>
        <v>-28.43859649</v>
      </c>
      <c r="X10" s="5" t="str">
        <f t="shared" ref="X10:Y10" si="38">U8/S8</f>
        <v>#DIV/0!</v>
      </c>
      <c r="Y10" s="5" t="str">
        <f t="shared" si="38"/>
        <v>#DIV/0!</v>
      </c>
      <c r="Z10" s="5" t="str">
        <f>W8/R8</f>
        <v>#DIV/0!</v>
      </c>
      <c r="AA10" s="1">
        <f>MAX(0, (P8 * G8) - E8)</f>
        <v>0</v>
      </c>
      <c r="AB10" s="1">
        <f>MAX(0, (Q8 * G8) - F8)</f>
        <v>0</v>
      </c>
      <c r="AC10" s="1">
        <f>R8-K8-J8</f>
        <v>-76.33333333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S1:T1"/>
    <mergeCell ref="U1:V1"/>
    <mergeCell ref="AA1:AB1"/>
    <mergeCell ref="C1:D1"/>
    <mergeCell ref="E1:F1"/>
    <mergeCell ref="H1:I1"/>
    <mergeCell ref="J1:K1"/>
    <mergeCell ref="L1:M1"/>
    <mergeCell ref="N1:O1"/>
    <mergeCell ref="P1:Q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</v>
      </c>
      <c r="B1" s="1" t="s">
        <v>12</v>
      </c>
      <c r="C1" s="1" t="s">
        <v>16</v>
      </c>
      <c r="D1" s="1" t="s">
        <v>19</v>
      </c>
      <c r="E1" s="1" t="s">
        <v>21</v>
      </c>
      <c r="F1" s="1" t="s">
        <v>24</v>
      </c>
    </row>
    <row r="2">
      <c r="A2" s="1" t="str">
        <f>IFERROR(__xludf.DUMMYFUNCTION("LET(
    datos_gastos, expenses_by_installments!A2:N23671,
    cat_maestra, 'expenses-categories'!B2:D23671,
    col_cat_gasto, INDEX(datos_gastos,,4),
    col_compartido_gasto, INDEX(datos_gastos,,10),
    col_user_gasto, INDEX(datos_gastos,,11),
    col"&amp;"_periodo_gasto, INDEX(datos_gastos,,14),
    col_monto_gasto, INDEX(datos_gastos,,12),
    universo, UNIQUE(FILTER(HSTACK(col_cat_gasto, col_periodo_gasto, col_user_gasto, col_compartido_gasto), (col_cat_gasto&lt;&gt;""""))),
    resumen, BYROW(universo, LAMBDA"&amp;"(fila, 
        LET(
            cat_nom, INDEX(fila, 1, 1),
            p_orig, INDEX(fila, 1, 2),
            usuario, INDEX(fila, 1, 3),
            comp, INDEX(fila, 1, 4),
            periodo_iso, RIGHT(p_orig, 4) &amp; ""-"" &amp; LEFT(p_orig, 2),
         "&amp;"   tipo, XLOOKUP(cat_nom, INDEX(cat_maestra,,1), INDEX(cat_maestra,,3), ""Gasto""),
            monto, SUMIFS(col_monto_gasto, col_cat_gasto, cat_nom, col_periodo_gasto, p_orig, col_user_gasto, usuario, col_compartido_gasto, comp),
            HSTACK(cat_"&amp;"nom, tipo, usuario, comp, periodo_iso, monto)
        )
    )),
    SORT(FILTER(resumen, (INDEX(resumen,,6)&gt;0)), 5, TRUE)
)"),"servicios")</f>
        <v>servicios</v>
      </c>
      <c r="B2" s="1" t="str">
        <f>IFERROR(__xludf.DUMMYFUNCTION("""COMPUTED_VALUE"""),"Gasto")</f>
        <v>Gasto</v>
      </c>
      <c r="C2" s="1" t="str">
        <f>IFERROR(__xludf.DUMMYFUNCTION("""COMPUTED_VALUE"""),"user-b")</f>
        <v>user-b</v>
      </c>
      <c r="D2" s="1" t="str">
        <f>IFERROR(__xludf.DUMMYFUNCTION("""COMPUTED_VALUE"""),"Si")</f>
        <v>Si</v>
      </c>
      <c r="E2" s="1" t="str">
        <f>IFERROR(__xludf.DUMMYFUNCTION("""COMPUTED_VALUE"""),"2024-06")</f>
        <v>2024-06</v>
      </c>
      <c r="F2" s="1">
        <f>IFERROR(__xludf.DUMMYFUNCTION("""COMPUTED_VALUE"""),231.0)</f>
        <v>231</v>
      </c>
    </row>
    <row r="3">
      <c r="A3" s="1" t="str">
        <f>IFERROR(__xludf.DUMMYFUNCTION("""COMPUTED_VALUE"""),"salario")</f>
        <v>salario</v>
      </c>
      <c r="B3" s="1" t="str">
        <f>IFERROR(__xludf.DUMMYFUNCTION("""COMPUTED_VALUE"""),"Ingreso")</f>
        <v>Ingreso</v>
      </c>
      <c r="C3" s="1" t="str">
        <f>IFERROR(__xludf.DUMMYFUNCTION("""COMPUTED_VALUE"""),"user-b")</f>
        <v>user-b</v>
      </c>
      <c r="D3" s="1" t="str">
        <f>IFERROR(__xludf.DUMMYFUNCTION("""COMPUTED_VALUE"""),"Si")</f>
        <v>Si</v>
      </c>
      <c r="E3" s="1" t="str">
        <f>IFERROR(__xludf.DUMMYFUNCTION("""COMPUTED_VALUE"""),"2024-06")</f>
        <v>2024-06</v>
      </c>
      <c r="F3" s="1">
        <f>IFERROR(__xludf.DUMMYFUNCTION("""COMPUTED_VALUE"""),5175.0)</f>
        <v>5175</v>
      </c>
    </row>
    <row r="4">
      <c r="A4" s="1" t="str">
        <f>IFERROR(__xludf.DUMMYFUNCTION("""COMPUTED_VALUE"""),"super")</f>
        <v>super</v>
      </c>
      <c r="B4" s="1" t="str">
        <f>IFERROR(__xludf.DUMMYFUNCTION("""COMPUTED_VALUE"""),"Gasto")</f>
        <v>Gasto</v>
      </c>
      <c r="C4" s="1" t="str">
        <f>IFERROR(__xludf.DUMMYFUNCTION("""COMPUTED_VALUE"""),"user-b")</f>
        <v>user-b</v>
      </c>
      <c r="D4" s="1" t="str">
        <f>IFERROR(__xludf.DUMMYFUNCTION("""COMPUTED_VALUE"""),"Si")</f>
        <v>Si</v>
      </c>
      <c r="E4" s="1" t="str">
        <f>IFERROR(__xludf.DUMMYFUNCTION("""COMPUTED_VALUE"""),"2024-06")</f>
        <v>2024-06</v>
      </c>
      <c r="F4" s="1">
        <f>IFERROR(__xludf.DUMMYFUNCTION("""COMPUTED_VALUE"""),117.51824817518248)</f>
        <v>117.5182482</v>
      </c>
    </row>
    <row r="5">
      <c r="A5" s="1" t="str">
        <f>IFERROR(__xludf.DUMMYFUNCTION("""COMPUTED_VALUE"""),"salidas")</f>
        <v>salidas</v>
      </c>
      <c r="B5" s="1" t="str">
        <f>IFERROR(__xludf.DUMMYFUNCTION("""COMPUTED_VALUE"""),"Gasto")</f>
        <v>Gasto</v>
      </c>
      <c r="C5" s="1" t="str">
        <f>IFERROR(__xludf.DUMMYFUNCTION("""COMPUTED_VALUE"""),"user-b")</f>
        <v>user-b</v>
      </c>
      <c r="D5" s="1" t="str">
        <f>IFERROR(__xludf.DUMMYFUNCTION("""COMPUTED_VALUE"""),"Si")</f>
        <v>Si</v>
      </c>
      <c r="E5" s="1" t="str">
        <f>IFERROR(__xludf.DUMMYFUNCTION("""COMPUTED_VALUE"""),"2024-06")</f>
        <v>2024-06</v>
      </c>
      <c r="F5" s="1">
        <f>IFERROR(__xludf.DUMMYFUNCTION("""COMPUTED_VALUE"""),258.3941605839416)</f>
        <v>258.3941606</v>
      </c>
    </row>
    <row r="6">
      <c r="A6" s="1" t="str">
        <f>IFERROR(__xludf.DUMMYFUNCTION("""COMPUTED_VALUE"""),"delivery")</f>
        <v>delivery</v>
      </c>
      <c r="B6" s="1" t="str">
        <f>IFERROR(__xludf.DUMMYFUNCTION("""COMPUTED_VALUE"""),"Gasto")</f>
        <v>Gasto</v>
      </c>
      <c r="C6" s="1" t="str">
        <f>IFERROR(__xludf.DUMMYFUNCTION("""COMPUTED_VALUE"""),"user-b")</f>
        <v>user-b</v>
      </c>
      <c r="D6" s="1" t="str">
        <f>IFERROR(__xludf.DUMMYFUNCTION("""COMPUTED_VALUE"""),"Si")</f>
        <v>Si</v>
      </c>
      <c r="E6" s="1" t="str">
        <f>IFERROR(__xludf.DUMMYFUNCTION("""COMPUTED_VALUE"""),"2024-06")</f>
        <v>2024-06</v>
      </c>
      <c r="F6" s="1">
        <f>IFERROR(__xludf.DUMMYFUNCTION("""COMPUTED_VALUE"""),125.91240875912409)</f>
        <v>125.9124088</v>
      </c>
    </row>
    <row r="7">
      <c r="A7" s="1" t="str">
        <f>IFERROR(__xludf.DUMMYFUNCTION("""COMPUTED_VALUE"""),"otros")</f>
        <v>otros</v>
      </c>
      <c r="B7" s="1" t="str">
        <f>IFERROR(__xludf.DUMMYFUNCTION("""COMPUTED_VALUE"""),"Gasto")</f>
        <v>Gasto</v>
      </c>
      <c r="C7" s="1" t="str">
        <f>IFERROR(__xludf.DUMMYFUNCTION("""COMPUTED_VALUE"""),"user-b")</f>
        <v>user-b</v>
      </c>
      <c r="D7" s="1" t="str">
        <f>IFERROR(__xludf.DUMMYFUNCTION("""COMPUTED_VALUE"""),"No")</f>
        <v>No</v>
      </c>
      <c r="E7" s="1" t="str">
        <f>IFERROR(__xludf.DUMMYFUNCTION("""COMPUTED_VALUE"""),"2024-06")</f>
        <v>2024-06</v>
      </c>
      <c r="F7" s="1">
        <f>IFERROR(__xludf.DUMMYFUNCTION("""COMPUTED_VALUE"""),209.03284671532847)</f>
        <v>209.0328467</v>
      </c>
    </row>
    <row r="8">
      <c r="A8" s="1" t="str">
        <f>IFERROR(__xludf.DUMMYFUNCTION("""COMPUTED_VALUE"""),"auto")</f>
        <v>auto</v>
      </c>
      <c r="B8" s="1" t="str">
        <f>IFERROR(__xludf.DUMMYFUNCTION("""COMPUTED_VALUE"""),"Gasto")</f>
        <v>Gasto</v>
      </c>
      <c r="C8" s="1" t="str">
        <f>IFERROR(__xludf.DUMMYFUNCTION("""COMPUTED_VALUE"""),"user-b")</f>
        <v>user-b</v>
      </c>
      <c r="D8" s="1" t="str">
        <f>IFERROR(__xludf.DUMMYFUNCTION("""COMPUTED_VALUE"""),"Si")</f>
        <v>Si</v>
      </c>
      <c r="E8" s="1" t="str">
        <f>IFERROR(__xludf.DUMMYFUNCTION("""COMPUTED_VALUE"""),"2024-06")</f>
        <v>2024-06</v>
      </c>
      <c r="F8" s="1">
        <f>IFERROR(__xludf.DUMMYFUNCTION("""COMPUTED_VALUE"""),46.715328467153284)</f>
        <v>46.71532847</v>
      </c>
    </row>
    <row r="9">
      <c r="A9" s="1" t="str">
        <f>IFERROR(__xludf.DUMMYFUNCTION("""COMPUTED_VALUE"""),"nafta")</f>
        <v>nafta</v>
      </c>
      <c r="B9" s="1" t="str">
        <f>IFERROR(__xludf.DUMMYFUNCTION("""COMPUTED_VALUE"""),"Gasto")</f>
        <v>Gasto</v>
      </c>
      <c r="C9" s="1" t="str">
        <f>IFERROR(__xludf.DUMMYFUNCTION("""COMPUTED_VALUE"""),"user-b")</f>
        <v>user-b</v>
      </c>
      <c r="D9" s="1" t="str">
        <f>IFERROR(__xludf.DUMMYFUNCTION("""COMPUTED_VALUE"""),"Si")</f>
        <v>Si</v>
      </c>
      <c r="E9" s="1" t="str">
        <f>IFERROR(__xludf.DUMMYFUNCTION("""COMPUTED_VALUE"""),"2024-06")</f>
        <v>2024-06</v>
      </c>
      <c r="F9" s="1">
        <f>IFERROR(__xludf.DUMMYFUNCTION("""COMPUTED_VALUE"""),16.05839416058394)</f>
        <v>16.05839416</v>
      </c>
    </row>
    <row r="10">
      <c r="A10" s="1" t="str">
        <f>IFERROR(__xludf.DUMMYFUNCTION("""COMPUTED_VALUE"""),"otros")</f>
        <v>otros</v>
      </c>
      <c r="B10" s="1" t="str">
        <f>IFERROR(__xludf.DUMMYFUNCTION("""COMPUTED_VALUE"""),"Gasto")</f>
        <v>Gasto</v>
      </c>
      <c r="C10" s="1" t="str">
        <f>IFERROR(__xludf.DUMMYFUNCTION("""COMPUTED_VALUE"""),"user-b")</f>
        <v>user-b</v>
      </c>
      <c r="D10" s="1" t="str">
        <f>IFERROR(__xludf.DUMMYFUNCTION("""COMPUTED_VALUE"""),"No")</f>
        <v>No</v>
      </c>
      <c r="E10" s="1" t="str">
        <f>IFERROR(__xludf.DUMMYFUNCTION("""COMPUTED_VALUE"""),"2024-07")</f>
        <v>2024-07</v>
      </c>
      <c r="F10" s="1">
        <f>IFERROR(__xludf.DUMMYFUNCTION("""COMPUTED_VALUE"""),80.94615384615383)</f>
        <v>80.94615385</v>
      </c>
    </row>
    <row r="11">
      <c r="A11" s="1" t="str">
        <f>IFERROR(__xludf.DUMMYFUNCTION("""COMPUTED_VALUE"""),"super")</f>
        <v>super</v>
      </c>
      <c r="B11" s="1" t="str">
        <f>IFERROR(__xludf.DUMMYFUNCTION("""COMPUTED_VALUE"""),"Gasto")</f>
        <v>Gasto</v>
      </c>
      <c r="C11" s="1" t="str">
        <f>IFERROR(__xludf.DUMMYFUNCTION("""COMPUTED_VALUE"""),"user-b")</f>
        <v>user-b</v>
      </c>
      <c r="D11" s="1" t="str">
        <f>IFERROR(__xludf.DUMMYFUNCTION("""COMPUTED_VALUE"""),"Si")</f>
        <v>Si</v>
      </c>
      <c r="E11" s="1" t="str">
        <f>IFERROR(__xludf.DUMMYFUNCTION("""COMPUTED_VALUE"""),"2024-07")</f>
        <v>2024-07</v>
      </c>
      <c r="F11" s="1">
        <f>IFERROR(__xludf.DUMMYFUNCTION("""COMPUTED_VALUE"""),212.66153846153847)</f>
        <v>212.6615385</v>
      </c>
    </row>
    <row r="12">
      <c r="A12" s="1" t="str">
        <f>IFERROR(__xludf.DUMMYFUNCTION("""COMPUTED_VALUE"""),"servicios")</f>
        <v>servicios</v>
      </c>
      <c r="B12" s="1" t="str">
        <f>IFERROR(__xludf.DUMMYFUNCTION("""COMPUTED_VALUE"""),"Gasto")</f>
        <v>Gasto</v>
      </c>
      <c r="C12" s="1" t="str">
        <f>IFERROR(__xludf.DUMMYFUNCTION("""COMPUTED_VALUE"""),"user-b")</f>
        <v>user-b</v>
      </c>
      <c r="D12" s="1" t="str">
        <f>IFERROR(__xludf.DUMMYFUNCTION("""COMPUTED_VALUE"""),"Si")</f>
        <v>Si</v>
      </c>
      <c r="E12" s="1" t="str">
        <f>IFERROR(__xludf.DUMMYFUNCTION("""COMPUTED_VALUE"""),"2024-07")</f>
        <v>2024-07</v>
      </c>
      <c r="F12" s="1">
        <f>IFERROR(__xludf.DUMMYFUNCTION("""COMPUTED_VALUE"""),244.0)</f>
        <v>244</v>
      </c>
    </row>
    <row r="13">
      <c r="A13" s="1" t="str">
        <f>IFERROR(__xludf.DUMMYFUNCTION("""COMPUTED_VALUE"""),"salario")</f>
        <v>salario</v>
      </c>
      <c r="B13" s="1" t="str">
        <f>IFERROR(__xludf.DUMMYFUNCTION("""COMPUTED_VALUE"""),"Ingreso")</f>
        <v>Ingreso</v>
      </c>
      <c r="C13" s="1" t="str">
        <f>IFERROR(__xludf.DUMMYFUNCTION("""COMPUTED_VALUE"""),"user-b")</f>
        <v>user-b</v>
      </c>
      <c r="D13" s="1" t="str">
        <f>IFERROR(__xludf.DUMMYFUNCTION("""COMPUTED_VALUE"""),"Si")</f>
        <v>Si</v>
      </c>
      <c r="E13" s="1" t="str">
        <f>IFERROR(__xludf.DUMMYFUNCTION("""COMPUTED_VALUE"""),"2024-07")</f>
        <v>2024-07</v>
      </c>
      <c r="F13" s="1">
        <f>IFERROR(__xludf.DUMMYFUNCTION("""COMPUTED_VALUE"""),3750.0)</f>
        <v>3750</v>
      </c>
    </row>
    <row r="14">
      <c r="A14" s="1" t="str">
        <f>IFERROR(__xludf.DUMMYFUNCTION("""COMPUTED_VALUE"""),"salidas")</f>
        <v>salidas</v>
      </c>
      <c r="B14" s="1" t="str">
        <f>IFERROR(__xludf.DUMMYFUNCTION("""COMPUTED_VALUE"""),"Gasto")</f>
        <v>Gasto</v>
      </c>
      <c r="C14" s="1" t="str">
        <f>IFERROR(__xludf.DUMMYFUNCTION("""COMPUTED_VALUE"""),"user-b")</f>
        <v>user-b</v>
      </c>
      <c r="D14" s="1" t="str">
        <f>IFERROR(__xludf.DUMMYFUNCTION("""COMPUTED_VALUE"""),"Si")</f>
        <v>Si</v>
      </c>
      <c r="E14" s="1" t="str">
        <f>IFERROR(__xludf.DUMMYFUNCTION("""COMPUTED_VALUE"""),"2024-07")</f>
        <v>2024-07</v>
      </c>
      <c r="F14" s="1">
        <f>IFERROR(__xludf.DUMMYFUNCTION("""COMPUTED_VALUE"""),185.19230769230768)</f>
        <v>185.1923077</v>
      </c>
    </row>
    <row r="15">
      <c r="A15" s="1" t="str">
        <f>IFERROR(__xludf.DUMMYFUNCTION("""COMPUTED_VALUE"""),"delivery")</f>
        <v>delivery</v>
      </c>
      <c r="B15" s="1" t="str">
        <f>IFERROR(__xludf.DUMMYFUNCTION("""COMPUTED_VALUE"""),"Gasto")</f>
        <v>Gasto</v>
      </c>
      <c r="C15" s="1" t="str">
        <f>IFERROR(__xludf.DUMMYFUNCTION("""COMPUTED_VALUE"""),"user-b")</f>
        <v>user-b</v>
      </c>
      <c r="D15" s="1" t="str">
        <f>IFERROR(__xludf.DUMMYFUNCTION("""COMPUTED_VALUE"""),"Si")</f>
        <v>Si</v>
      </c>
      <c r="E15" s="1" t="str">
        <f>IFERROR(__xludf.DUMMYFUNCTION("""COMPUTED_VALUE"""),"2024-07")</f>
        <v>2024-07</v>
      </c>
      <c r="F15" s="1">
        <f>IFERROR(__xludf.DUMMYFUNCTION("""COMPUTED_VALUE"""),172.23076923076923)</f>
        <v>172.2307692</v>
      </c>
    </row>
    <row r="16">
      <c r="A16" s="1" t="str">
        <f>IFERROR(__xludf.DUMMYFUNCTION("""COMPUTED_VALUE"""),"nafta")</f>
        <v>nafta</v>
      </c>
      <c r="B16" s="1" t="str">
        <f>IFERROR(__xludf.DUMMYFUNCTION("""COMPUTED_VALUE"""),"Gasto")</f>
        <v>Gasto</v>
      </c>
      <c r="C16" s="1" t="str">
        <f>IFERROR(__xludf.DUMMYFUNCTION("""COMPUTED_VALUE"""),"user-b")</f>
        <v>user-b</v>
      </c>
      <c r="D16" s="1" t="str">
        <f>IFERROR(__xludf.DUMMYFUNCTION("""COMPUTED_VALUE"""),"Si")</f>
        <v>Si</v>
      </c>
      <c r="E16" s="1" t="str">
        <f>IFERROR(__xludf.DUMMYFUNCTION("""COMPUTED_VALUE"""),"2024-07")</f>
        <v>2024-07</v>
      </c>
      <c r="F16" s="1">
        <f>IFERROR(__xludf.DUMMYFUNCTION("""COMPUTED_VALUE"""),17.115384615384617)</f>
        <v>17.11538462</v>
      </c>
    </row>
    <row r="17">
      <c r="A17" s="1" t="str">
        <f>IFERROR(__xludf.DUMMYFUNCTION("""COMPUTED_VALUE"""),"auto")</f>
        <v>auto</v>
      </c>
      <c r="B17" s="1" t="str">
        <f>IFERROR(__xludf.DUMMYFUNCTION("""COMPUTED_VALUE"""),"Gasto")</f>
        <v>Gasto</v>
      </c>
      <c r="C17" s="1" t="str">
        <f>IFERROR(__xludf.DUMMYFUNCTION("""COMPUTED_VALUE"""),"user-b")</f>
        <v>user-b</v>
      </c>
      <c r="D17" s="1" t="str">
        <f>IFERROR(__xludf.DUMMYFUNCTION("""COMPUTED_VALUE"""),"Si")</f>
        <v>Si</v>
      </c>
      <c r="E17" s="1" t="str">
        <f>IFERROR(__xludf.DUMMYFUNCTION("""COMPUTED_VALUE"""),"2024-07")</f>
        <v>2024-07</v>
      </c>
      <c r="F17" s="1">
        <f>IFERROR(__xludf.DUMMYFUNCTION("""COMPUTED_VALUE"""),135.96153846153845)</f>
        <v>135.9615385</v>
      </c>
    </row>
    <row r="18">
      <c r="A18" s="1" t="str">
        <f>IFERROR(__xludf.DUMMYFUNCTION("""COMPUTED_VALUE"""),"otros")</f>
        <v>otros</v>
      </c>
      <c r="B18" s="1" t="str">
        <f>IFERROR(__xludf.DUMMYFUNCTION("""COMPUTED_VALUE"""),"Gasto")</f>
        <v>Gasto</v>
      </c>
      <c r="C18" s="1" t="str">
        <f>IFERROR(__xludf.DUMMYFUNCTION("""COMPUTED_VALUE"""),"user-b")</f>
        <v>user-b</v>
      </c>
      <c r="D18" s="1" t="str">
        <f>IFERROR(__xludf.DUMMYFUNCTION("""COMPUTED_VALUE"""),"No")</f>
        <v>No</v>
      </c>
      <c r="E18" s="1" t="str">
        <f>IFERROR(__xludf.DUMMYFUNCTION("""COMPUTED_VALUE"""),"2024-08")</f>
        <v>2024-08</v>
      </c>
      <c r="F18" s="1">
        <f>IFERROR(__xludf.DUMMYFUNCTION("""COMPUTED_VALUE"""),66.34008097165992)</f>
        <v>66.34008097</v>
      </c>
    </row>
    <row r="19">
      <c r="A19" s="1" t="str">
        <f>IFERROR(__xludf.DUMMYFUNCTION("""COMPUTED_VALUE"""),"super")</f>
        <v>super</v>
      </c>
      <c r="B19" s="1" t="str">
        <f>IFERROR(__xludf.DUMMYFUNCTION("""COMPUTED_VALUE"""),"Gasto")</f>
        <v>Gasto</v>
      </c>
      <c r="C19" s="1" t="str">
        <f>IFERROR(__xludf.DUMMYFUNCTION("""COMPUTED_VALUE"""),"user-b")</f>
        <v>user-b</v>
      </c>
      <c r="D19" s="1" t="str">
        <f>IFERROR(__xludf.DUMMYFUNCTION("""COMPUTED_VALUE"""),"Si")</f>
        <v>Si</v>
      </c>
      <c r="E19" s="1" t="str">
        <f>IFERROR(__xludf.DUMMYFUNCTION("""COMPUTED_VALUE"""),"2024-08")</f>
        <v>2024-08</v>
      </c>
      <c r="F19" s="1">
        <f>IFERROR(__xludf.DUMMYFUNCTION("""COMPUTED_VALUE"""),65.31174089068826)</f>
        <v>65.31174089</v>
      </c>
    </row>
    <row r="20">
      <c r="A20" s="1" t="str">
        <f>IFERROR(__xludf.DUMMYFUNCTION("""COMPUTED_VALUE"""),"salidas")</f>
        <v>salidas</v>
      </c>
      <c r="B20" s="1" t="str">
        <f>IFERROR(__xludf.DUMMYFUNCTION("""COMPUTED_VALUE"""),"Gasto")</f>
        <v>Gasto</v>
      </c>
      <c r="C20" s="1" t="str">
        <f>IFERROR(__xludf.DUMMYFUNCTION("""COMPUTED_VALUE"""),"user-b")</f>
        <v>user-b</v>
      </c>
      <c r="D20" s="1" t="str">
        <f>IFERROR(__xludf.DUMMYFUNCTION("""COMPUTED_VALUE"""),"Si")</f>
        <v>Si</v>
      </c>
      <c r="E20" s="1" t="str">
        <f>IFERROR(__xludf.DUMMYFUNCTION("""COMPUTED_VALUE"""),"2024-08")</f>
        <v>2024-08</v>
      </c>
      <c r="F20" s="1">
        <f>IFERROR(__xludf.DUMMYFUNCTION("""COMPUTED_VALUE"""),54.04858299595141)</f>
        <v>54.048583</v>
      </c>
    </row>
    <row r="21" ht="15.75" customHeight="1">
      <c r="A21" s="1" t="str">
        <f>IFERROR(__xludf.DUMMYFUNCTION("""COMPUTED_VALUE"""),"auto")</f>
        <v>auto</v>
      </c>
      <c r="B21" s="1" t="str">
        <f>IFERROR(__xludf.DUMMYFUNCTION("""COMPUTED_VALUE"""),"Gasto")</f>
        <v>Gasto</v>
      </c>
      <c r="C21" s="1" t="str">
        <f>IFERROR(__xludf.DUMMYFUNCTION("""COMPUTED_VALUE"""),"user-b")</f>
        <v>user-b</v>
      </c>
      <c r="D21" s="1" t="str">
        <f>IFERROR(__xludf.DUMMYFUNCTION("""COMPUTED_VALUE"""),"Si")</f>
        <v>Si</v>
      </c>
      <c r="E21" s="1" t="str">
        <f>IFERROR(__xludf.DUMMYFUNCTION("""COMPUTED_VALUE"""),"2024-08")</f>
        <v>2024-08</v>
      </c>
      <c r="F21" s="1">
        <f>IFERROR(__xludf.DUMMYFUNCTION("""COMPUTED_VALUE"""),20.850202429149796)</f>
        <v>20.85020243</v>
      </c>
    </row>
    <row r="22" ht="15.75" customHeight="1">
      <c r="A22" s="1" t="str">
        <f>IFERROR(__xludf.DUMMYFUNCTION("""COMPUTED_VALUE"""),"otros")</f>
        <v>otros</v>
      </c>
      <c r="B22" s="1" t="str">
        <f>IFERROR(__xludf.DUMMYFUNCTION("""COMPUTED_VALUE"""),"Gasto")</f>
        <v>Gasto</v>
      </c>
      <c r="C22" s="1" t="str">
        <f>IFERROR(__xludf.DUMMYFUNCTION("""COMPUTED_VALUE"""),"user-b")</f>
        <v>user-b</v>
      </c>
      <c r="D22" s="1" t="str">
        <f>IFERROR(__xludf.DUMMYFUNCTION("""COMPUTED_VALUE"""),"No")</f>
        <v>No</v>
      </c>
      <c r="E22" s="1" t="str">
        <f>IFERROR(__xludf.DUMMYFUNCTION("""COMPUTED_VALUE"""),"2024-09")</f>
        <v>2024-09</v>
      </c>
      <c r="F22" s="1">
        <f>IFERROR(__xludf.DUMMYFUNCTION("""COMPUTED_VALUE"""),45.123966942148755)</f>
        <v>45.12396694</v>
      </c>
    </row>
    <row r="23" ht="15.75" customHeight="1">
      <c r="A23" s="1" t="str">
        <f>IFERROR(__xludf.DUMMYFUNCTION("""COMPUTED_VALUE"""),"salidas")</f>
        <v>salidas</v>
      </c>
      <c r="B23" s="1" t="str">
        <f>IFERROR(__xludf.DUMMYFUNCTION("""COMPUTED_VALUE"""),"Gasto")</f>
        <v>Gasto</v>
      </c>
      <c r="C23" s="1" t="str">
        <f>IFERROR(__xludf.DUMMYFUNCTION("""COMPUTED_VALUE"""),"user-b")</f>
        <v>user-b</v>
      </c>
      <c r="D23" s="1" t="str">
        <f>IFERROR(__xludf.DUMMYFUNCTION("""COMPUTED_VALUE"""),"Si")</f>
        <v>Si</v>
      </c>
      <c r="E23" s="1" t="str">
        <f>IFERROR(__xludf.DUMMYFUNCTION("""COMPUTED_VALUE"""),"2024-09")</f>
        <v>2024-09</v>
      </c>
      <c r="F23" s="1">
        <f>IFERROR(__xludf.DUMMYFUNCTION("""COMPUTED_VALUE"""),49.65289256198348)</f>
        <v>49.65289256</v>
      </c>
    </row>
    <row r="24" ht="15.75" customHeight="1">
      <c r="A24" s="1" t="str">
        <f>IFERROR(__xludf.DUMMYFUNCTION("""COMPUTED_VALUE"""),"super")</f>
        <v>super</v>
      </c>
      <c r="B24" s="1" t="str">
        <f>IFERROR(__xludf.DUMMYFUNCTION("""COMPUTED_VALUE"""),"Gasto")</f>
        <v>Gasto</v>
      </c>
      <c r="C24" s="1" t="str">
        <f>IFERROR(__xludf.DUMMYFUNCTION("""COMPUTED_VALUE"""),"user-b")</f>
        <v>user-b</v>
      </c>
      <c r="D24" s="1" t="str">
        <f>IFERROR(__xludf.DUMMYFUNCTION("""COMPUTED_VALUE"""),"Si")</f>
        <v>Si</v>
      </c>
      <c r="E24" s="1" t="str">
        <f>IFERROR(__xludf.DUMMYFUNCTION("""COMPUTED_VALUE"""),"2024-09")</f>
        <v>2024-09</v>
      </c>
      <c r="F24" s="1">
        <f>IFERROR(__xludf.DUMMYFUNCTION("""COMPUTED_VALUE"""),45.17355371900827)</f>
        <v>45.17355372</v>
      </c>
    </row>
    <row r="25" ht="15.75" customHeight="1">
      <c r="A25" s="1" t="str">
        <f>IFERROR(__xludf.DUMMYFUNCTION("""COMPUTED_VALUE"""),"auto")</f>
        <v>auto</v>
      </c>
      <c r="B25" s="1" t="str">
        <f>IFERROR(__xludf.DUMMYFUNCTION("""COMPUTED_VALUE"""),"Gasto")</f>
        <v>Gasto</v>
      </c>
      <c r="C25" s="1" t="str">
        <f>IFERROR(__xludf.DUMMYFUNCTION("""COMPUTED_VALUE"""),"user-b")</f>
        <v>user-b</v>
      </c>
      <c r="D25" s="1" t="str">
        <f>IFERROR(__xludf.DUMMYFUNCTION("""COMPUTED_VALUE"""),"Si")</f>
        <v>Si</v>
      </c>
      <c r="E25" s="1" t="str">
        <f>IFERROR(__xludf.DUMMYFUNCTION("""COMPUTED_VALUE"""),"2024-09")</f>
        <v>2024-09</v>
      </c>
      <c r="F25" s="1">
        <f>IFERROR(__xludf.DUMMYFUNCTION("""COMPUTED_VALUE"""),21.28099173553719)</f>
        <v>21.28099174</v>
      </c>
    </row>
    <row r="26" ht="15.75" customHeight="1">
      <c r="A26" s="1" t="str">
        <f>IFERROR(__xludf.DUMMYFUNCTION("""COMPUTED_VALUE"""),"otros")</f>
        <v>otros</v>
      </c>
      <c r="B26" s="1" t="str">
        <f>IFERROR(__xludf.DUMMYFUNCTION("""COMPUTED_VALUE"""),"Gasto")</f>
        <v>Gasto</v>
      </c>
      <c r="C26" s="1" t="str">
        <f>IFERROR(__xludf.DUMMYFUNCTION("""COMPUTED_VALUE"""),"user-b")</f>
        <v>user-b</v>
      </c>
      <c r="D26" s="1" t="str">
        <f>IFERROR(__xludf.DUMMYFUNCTION("""COMPUTED_VALUE"""),"No")</f>
        <v>No</v>
      </c>
      <c r="E26" s="1" t="str">
        <f>IFERROR(__xludf.DUMMYFUNCTION("""COMPUTED_VALUE"""),"2024-10")</f>
        <v>2024-10</v>
      </c>
      <c r="F26" s="1">
        <f>IFERROR(__xludf.DUMMYFUNCTION("""COMPUTED_VALUE"""),47.89473684210526)</f>
        <v>47.89473684</v>
      </c>
    </row>
    <row r="27" ht="15.75" customHeight="1">
      <c r="A27" s="1" t="str">
        <f>IFERROR(__xludf.DUMMYFUNCTION("""COMPUTED_VALUE"""),"auto")</f>
        <v>auto</v>
      </c>
      <c r="B27" s="1" t="str">
        <f>IFERROR(__xludf.DUMMYFUNCTION("""COMPUTED_VALUE"""),"Gasto")</f>
        <v>Gasto</v>
      </c>
      <c r="C27" s="1" t="str">
        <f>IFERROR(__xludf.DUMMYFUNCTION("""COMPUTED_VALUE"""),"user-b")</f>
        <v>user-b</v>
      </c>
      <c r="D27" s="1" t="str">
        <f>IFERROR(__xludf.DUMMYFUNCTION("""COMPUTED_VALUE"""),"Si")</f>
        <v>Si</v>
      </c>
      <c r="E27" s="1" t="str">
        <f>IFERROR(__xludf.DUMMYFUNCTION("""COMPUTED_VALUE"""),"2024-10")</f>
        <v>2024-10</v>
      </c>
      <c r="F27" s="1">
        <f>IFERROR(__xludf.DUMMYFUNCTION("""COMPUTED_VALUE"""),22.587719298245613)</f>
        <v>22.5877193</v>
      </c>
    </row>
    <row r="28" ht="15.75" customHeight="1">
      <c r="A28" s="1" t="str">
        <f>IFERROR(__xludf.DUMMYFUNCTION("""COMPUTED_VALUE"""),"salidas")</f>
        <v>salidas</v>
      </c>
      <c r="B28" s="1" t="str">
        <f>IFERROR(__xludf.DUMMYFUNCTION("""COMPUTED_VALUE"""),"Gasto")</f>
        <v>Gasto</v>
      </c>
      <c r="C28" s="1" t="str">
        <f>IFERROR(__xludf.DUMMYFUNCTION("""COMPUTED_VALUE"""),"user-b")</f>
        <v>user-b</v>
      </c>
      <c r="D28" s="1" t="str">
        <f>IFERROR(__xludf.DUMMYFUNCTION("""COMPUTED_VALUE"""),"Si")</f>
        <v>Si</v>
      </c>
      <c r="E28" s="1" t="str">
        <f>IFERROR(__xludf.DUMMYFUNCTION("""COMPUTED_VALUE"""),"2024-10")</f>
        <v>2024-10</v>
      </c>
      <c r="F28" s="1">
        <f>IFERROR(__xludf.DUMMYFUNCTION("""COMPUTED_VALUE"""),5.850877192982456)</f>
        <v>5.850877193</v>
      </c>
    </row>
    <row r="29" ht="15.75" customHeight="1">
      <c r="A29" s="1" t="str">
        <f>IFERROR(__xludf.DUMMYFUNCTION("""COMPUTED_VALUE"""),"otros")</f>
        <v>otros</v>
      </c>
      <c r="B29" s="1" t="str">
        <f>IFERROR(__xludf.DUMMYFUNCTION("""COMPUTED_VALUE"""),"Gasto")</f>
        <v>Gasto</v>
      </c>
      <c r="C29" s="1" t="str">
        <f>IFERROR(__xludf.DUMMYFUNCTION("""COMPUTED_VALUE"""),"user-b")</f>
        <v>user-b</v>
      </c>
      <c r="D29" s="1" t="str">
        <f>IFERROR(__xludf.DUMMYFUNCTION("""COMPUTED_VALUE"""),"No")</f>
        <v>No</v>
      </c>
      <c r="E29" s="1" t="str">
        <f>IFERROR(__xludf.DUMMYFUNCTION("""COMPUTED_VALUE"""),"2024-11")</f>
        <v>2024-11</v>
      </c>
      <c r="F29" s="1">
        <f>IFERROR(__xludf.DUMMYFUNCTION("""COMPUTED_VALUE"""),50.79069767441861)</f>
        <v>50.79069767</v>
      </c>
    </row>
    <row r="30" ht="15.75" customHeight="1">
      <c r="A30" s="1" t="str">
        <f>IFERROR(__xludf.DUMMYFUNCTION("""COMPUTED_VALUE"""),"auto")</f>
        <v>auto</v>
      </c>
      <c r="B30" s="1" t="str">
        <f>IFERROR(__xludf.DUMMYFUNCTION("""COMPUTED_VALUE"""),"Gasto")</f>
        <v>Gasto</v>
      </c>
      <c r="C30" s="1" t="str">
        <f>IFERROR(__xludf.DUMMYFUNCTION("""COMPUTED_VALUE"""),"user-b")</f>
        <v>user-b</v>
      </c>
      <c r="D30" s="1" t="str">
        <f>IFERROR(__xludf.DUMMYFUNCTION("""COMPUTED_VALUE"""),"Si")</f>
        <v>Si</v>
      </c>
      <c r="E30" s="1" t="str">
        <f>IFERROR(__xludf.DUMMYFUNCTION("""COMPUTED_VALUE"""),"2024-11")</f>
        <v>2024-11</v>
      </c>
      <c r="F30" s="1">
        <f>IFERROR(__xludf.DUMMYFUNCTION("""COMPUTED_VALUE"""),23.953488372093023)</f>
        <v>23.95348837</v>
      </c>
    </row>
    <row r="31" ht="15.75" customHeight="1">
      <c r="A31" s="1" t="str">
        <f>IFERROR(__xludf.DUMMYFUNCTION("""COMPUTED_VALUE"""),"otros")</f>
        <v>otros</v>
      </c>
      <c r="B31" s="1" t="str">
        <f>IFERROR(__xludf.DUMMYFUNCTION("""COMPUTED_VALUE"""),"Gasto")</f>
        <v>Gasto</v>
      </c>
      <c r="C31" s="1" t="str">
        <f>IFERROR(__xludf.DUMMYFUNCTION("""COMPUTED_VALUE"""),"user-b")</f>
        <v>user-b</v>
      </c>
      <c r="D31" s="1" t="str">
        <f>IFERROR(__xludf.DUMMYFUNCTION("""COMPUTED_VALUE"""),"No")</f>
        <v>No</v>
      </c>
      <c r="E31" s="1" t="str">
        <f>IFERROR(__xludf.DUMMYFUNCTION("""COMPUTED_VALUE"""),"2024-12")</f>
        <v>2024-12</v>
      </c>
      <c r="F31" s="1">
        <f>IFERROR(__xludf.DUMMYFUNCTION("""COMPUTED_VALUE"""),32.98695652173914)</f>
        <v>32.98695652</v>
      </c>
    </row>
    <row r="32" ht="15.75" customHeight="1">
      <c r="A32" s="1" t="str">
        <f>IFERROR(__xludf.DUMMYFUNCTION("""COMPUTED_VALUE"""),"auto")</f>
        <v>auto</v>
      </c>
      <c r="B32" s="1" t="str">
        <f>IFERROR(__xludf.DUMMYFUNCTION("""COMPUTED_VALUE"""),"Gasto")</f>
        <v>Gasto</v>
      </c>
      <c r="C32" s="1" t="str">
        <f>IFERROR(__xludf.DUMMYFUNCTION("""COMPUTED_VALUE"""),"user-b")</f>
        <v>user-b</v>
      </c>
      <c r="D32" s="1" t="str">
        <f>IFERROR(__xludf.DUMMYFUNCTION("""COMPUTED_VALUE"""),"Si")</f>
        <v>Si</v>
      </c>
      <c r="E32" s="1" t="str">
        <f>IFERROR(__xludf.DUMMYFUNCTION("""COMPUTED_VALUE"""),"2024-12")</f>
        <v>2024-12</v>
      </c>
      <c r="F32" s="1">
        <f>IFERROR(__xludf.DUMMYFUNCTION("""COMPUTED_VALUE"""),22.391304347826086)</f>
        <v>22.39130435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</v>
      </c>
      <c r="B1" s="1" t="s">
        <v>49</v>
      </c>
      <c r="C1" s="1" t="s">
        <v>2</v>
      </c>
      <c r="D1" s="1" t="s">
        <v>54</v>
      </c>
      <c r="E1" s="1" t="s">
        <v>56</v>
      </c>
      <c r="F1" s="1" t="s">
        <v>59</v>
      </c>
      <c r="G1" s="1" t="s">
        <v>60</v>
      </c>
      <c r="H1" s="1" t="s">
        <v>62</v>
      </c>
      <c r="I1" s="1" t="s">
        <v>63</v>
      </c>
      <c r="J1" s="1" t="s">
        <v>65</v>
      </c>
    </row>
    <row r="2">
      <c r="A2" s="1" t="s">
        <v>32</v>
      </c>
      <c r="B2" s="2">
        <v>45444.0</v>
      </c>
      <c r="C2" s="1" t="s">
        <v>40</v>
      </c>
      <c r="D2" s="1">
        <v>231.0</v>
      </c>
      <c r="E2" s="1">
        <v>1.0</v>
      </c>
      <c r="F2" s="1" t="s">
        <v>42</v>
      </c>
      <c r="H2" s="1" t="s">
        <v>44</v>
      </c>
      <c r="I2" s="1" t="s">
        <v>45</v>
      </c>
      <c r="J2" s="1" t="s">
        <v>47</v>
      </c>
    </row>
    <row r="3">
      <c r="A3" s="1" t="s">
        <v>53</v>
      </c>
      <c r="B3" s="2">
        <v>45444.0</v>
      </c>
      <c r="C3" s="1" t="s">
        <v>58</v>
      </c>
      <c r="D3" s="3">
        <v>1500.0</v>
      </c>
      <c r="E3" s="1">
        <v>1.0</v>
      </c>
      <c r="F3" s="1" t="s">
        <v>42</v>
      </c>
      <c r="H3" s="1" t="s">
        <v>66</v>
      </c>
      <c r="I3" s="1" t="s">
        <v>45</v>
      </c>
      <c r="J3" s="1" t="s">
        <v>47</v>
      </c>
    </row>
    <row r="4">
      <c r="A4" s="1" t="s">
        <v>67</v>
      </c>
      <c r="B4" s="2">
        <v>45451.0</v>
      </c>
      <c r="C4" s="1" t="s">
        <v>68</v>
      </c>
      <c r="D4" s="1">
        <v>6000.0</v>
      </c>
      <c r="E4" s="1">
        <v>1.0</v>
      </c>
      <c r="F4" s="1" t="s">
        <v>70</v>
      </c>
      <c r="H4" s="1" t="s">
        <v>44</v>
      </c>
      <c r="I4" s="1" t="s">
        <v>45</v>
      </c>
      <c r="J4" s="1" t="s">
        <v>47</v>
      </c>
    </row>
    <row r="5">
      <c r="A5" s="1" t="s">
        <v>72</v>
      </c>
      <c r="B5" s="2">
        <v>45451.0</v>
      </c>
      <c r="C5" s="1" t="s">
        <v>73</v>
      </c>
      <c r="D5" s="1">
        <v>42000.0</v>
      </c>
      <c r="E5" s="1">
        <v>1.0</v>
      </c>
      <c r="F5" s="1" t="s">
        <v>70</v>
      </c>
      <c r="H5" s="1" t="s">
        <v>44</v>
      </c>
      <c r="I5" s="1" t="s">
        <v>45</v>
      </c>
      <c r="J5" s="1" t="s">
        <v>47</v>
      </c>
    </row>
    <row r="6">
      <c r="A6" s="1" t="s">
        <v>74</v>
      </c>
      <c r="B6" s="2">
        <v>45452.0</v>
      </c>
      <c r="C6" s="1" t="s">
        <v>68</v>
      </c>
      <c r="D6" s="1">
        <v>62000.0</v>
      </c>
      <c r="E6" s="1">
        <v>1.0</v>
      </c>
      <c r="F6" s="1" t="s">
        <v>70</v>
      </c>
      <c r="H6" s="1" t="s">
        <v>44</v>
      </c>
      <c r="I6" s="1" t="s">
        <v>45</v>
      </c>
      <c r="J6" s="1" t="s">
        <v>47</v>
      </c>
    </row>
    <row r="7">
      <c r="A7" s="1" t="s">
        <v>75</v>
      </c>
      <c r="B7" s="2">
        <v>45452.0</v>
      </c>
      <c r="C7" s="1" t="s">
        <v>76</v>
      </c>
      <c r="D7" s="1">
        <v>14000.0</v>
      </c>
      <c r="E7" s="1">
        <v>1.0</v>
      </c>
      <c r="F7" s="1" t="s">
        <v>70</v>
      </c>
      <c r="H7" s="1" t="s">
        <v>44</v>
      </c>
      <c r="I7" s="1" t="s">
        <v>45</v>
      </c>
      <c r="J7" s="1" t="s">
        <v>47</v>
      </c>
    </row>
    <row r="8">
      <c r="A8" s="1" t="s">
        <v>77</v>
      </c>
      <c r="B8" s="2">
        <v>45453.0</v>
      </c>
      <c r="C8" s="1" t="s">
        <v>76</v>
      </c>
      <c r="D8" s="1">
        <v>9500.0</v>
      </c>
      <c r="E8" s="1">
        <v>1.0</v>
      </c>
      <c r="F8" s="1" t="s">
        <v>70</v>
      </c>
      <c r="H8" s="1" t="s">
        <v>44</v>
      </c>
      <c r="I8" s="1" t="s">
        <v>45</v>
      </c>
      <c r="J8" s="1" t="s">
        <v>47</v>
      </c>
    </row>
    <row r="9">
      <c r="A9" s="1" t="s">
        <v>78</v>
      </c>
      <c r="B9" s="2">
        <v>45454.0</v>
      </c>
      <c r="C9" s="1" t="s">
        <v>76</v>
      </c>
      <c r="D9" s="1">
        <v>12000.0</v>
      </c>
      <c r="E9" s="1">
        <v>1.0</v>
      </c>
      <c r="F9" s="1" t="s">
        <v>70</v>
      </c>
      <c r="H9" s="1" t="s">
        <v>44</v>
      </c>
      <c r="I9" s="1" t="s">
        <v>45</v>
      </c>
      <c r="J9" s="1" t="s">
        <v>47</v>
      </c>
    </row>
    <row r="10">
      <c r="A10" s="1" t="s">
        <v>79</v>
      </c>
      <c r="B10" s="2">
        <v>45454.0</v>
      </c>
      <c r="C10" s="1" t="s">
        <v>73</v>
      </c>
      <c r="D10" s="1">
        <v>36000.0</v>
      </c>
      <c r="E10" s="1">
        <v>1.0</v>
      </c>
      <c r="F10" s="1" t="s">
        <v>70</v>
      </c>
      <c r="H10" s="1" t="s">
        <v>44</v>
      </c>
      <c r="I10" s="1" t="s">
        <v>45</v>
      </c>
      <c r="J10" s="1" t="s">
        <v>47</v>
      </c>
    </row>
    <row r="11">
      <c r="A11" s="1" t="s">
        <v>80</v>
      </c>
      <c r="B11" s="2">
        <v>45455.0</v>
      </c>
      <c r="C11" s="1" t="s">
        <v>68</v>
      </c>
      <c r="D11" s="1">
        <v>2000.0</v>
      </c>
      <c r="E11" s="1">
        <v>1.0</v>
      </c>
      <c r="F11" s="1" t="s">
        <v>70</v>
      </c>
      <c r="H11" s="1" t="s">
        <v>44</v>
      </c>
      <c r="I11" s="1" t="s">
        <v>45</v>
      </c>
      <c r="J11" s="1" t="s">
        <v>47</v>
      </c>
    </row>
    <row r="12">
      <c r="A12" s="1" t="s">
        <v>81</v>
      </c>
      <c r="B12" s="2">
        <v>45456.0</v>
      </c>
      <c r="C12" s="1" t="s">
        <v>82</v>
      </c>
      <c r="D12" s="1">
        <v>45990.0</v>
      </c>
      <c r="E12" s="1">
        <v>3.0</v>
      </c>
      <c r="F12" s="1" t="s">
        <v>70</v>
      </c>
      <c r="G12" s="1" t="s">
        <v>83</v>
      </c>
      <c r="H12" s="1" t="s">
        <v>44</v>
      </c>
      <c r="I12" s="1" t="s">
        <v>84</v>
      </c>
      <c r="J12" s="1" t="s">
        <v>47</v>
      </c>
    </row>
    <row r="13">
      <c r="A13" s="1" t="s">
        <v>85</v>
      </c>
      <c r="B13" s="2">
        <v>45456.0</v>
      </c>
      <c r="C13" s="1" t="s">
        <v>76</v>
      </c>
      <c r="D13" s="1">
        <v>10000.0</v>
      </c>
      <c r="E13" s="1">
        <v>1.0</v>
      </c>
      <c r="F13" s="1" t="s">
        <v>70</v>
      </c>
      <c r="H13" s="1" t="s">
        <v>44</v>
      </c>
      <c r="I13" s="1" t="s">
        <v>45</v>
      </c>
      <c r="J13" s="1" t="s">
        <v>47</v>
      </c>
    </row>
    <row r="14">
      <c r="A14" s="1" t="s">
        <v>86</v>
      </c>
      <c r="B14" s="2">
        <v>45457.0</v>
      </c>
      <c r="C14" s="1" t="s">
        <v>76</v>
      </c>
      <c r="D14" s="1">
        <v>26000.0</v>
      </c>
      <c r="E14" s="1">
        <v>1.0</v>
      </c>
      <c r="F14" s="1" t="s">
        <v>70</v>
      </c>
      <c r="H14" s="1" t="s">
        <v>44</v>
      </c>
      <c r="I14" s="1" t="s">
        <v>45</v>
      </c>
      <c r="J14" s="1" t="s">
        <v>47</v>
      </c>
    </row>
    <row r="15">
      <c r="A15" s="1" t="s">
        <v>87</v>
      </c>
      <c r="B15" s="2">
        <v>45458.0</v>
      </c>
      <c r="C15" s="1" t="s">
        <v>76</v>
      </c>
      <c r="D15" s="1">
        <v>36000.0</v>
      </c>
      <c r="E15" s="1">
        <v>1.0</v>
      </c>
      <c r="F15" s="1" t="s">
        <v>70</v>
      </c>
      <c r="H15" s="1" t="s">
        <v>44</v>
      </c>
      <c r="I15" s="1" t="s">
        <v>45</v>
      </c>
      <c r="J15" s="1" t="s">
        <v>47</v>
      </c>
    </row>
    <row r="16">
      <c r="A16" s="1" t="s">
        <v>88</v>
      </c>
      <c r="B16" s="2">
        <v>45458.0</v>
      </c>
      <c r="C16" s="1" t="s">
        <v>68</v>
      </c>
      <c r="D16" s="1">
        <v>8000.0</v>
      </c>
      <c r="E16" s="1">
        <v>1.0</v>
      </c>
      <c r="F16" s="1" t="s">
        <v>70</v>
      </c>
      <c r="H16" s="1" t="s">
        <v>44</v>
      </c>
      <c r="I16" s="1" t="s">
        <v>45</v>
      </c>
      <c r="J16" s="1" t="s">
        <v>47</v>
      </c>
    </row>
    <row r="17">
      <c r="A17" s="1" t="s">
        <v>90</v>
      </c>
      <c r="B17" s="2">
        <v>45458.0</v>
      </c>
      <c r="C17" s="1" t="s">
        <v>82</v>
      </c>
      <c r="D17" s="1">
        <v>4000.0</v>
      </c>
      <c r="E17" s="1">
        <v>1.0</v>
      </c>
      <c r="F17" s="1" t="s">
        <v>70</v>
      </c>
      <c r="H17" s="1" t="s">
        <v>44</v>
      </c>
      <c r="I17" s="1" t="s">
        <v>84</v>
      </c>
      <c r="J17" s="1" t="s">
        <v>47</v>
      </c>
    </row>
    <row r="18">
      <c r="A18" s="1" t="s">
        <v>92</v>
      </c>
      <c r="B18" s="2">
        <v>45459.0</v>
      </c>
      <c r="C18" s="1" t="s">
        <v>82</v>
      </c>
      <c r="D18" s="1">
        <v>13.0</v>
      </c>
      <c r="E18" s="1">
        <v>1.0</v>
      </c>
      <c r="F18" s="1" t="s">
        <v>42</v>
      </c>
      <c r="G18" s="1" t="s">
        <v>93</v>
      </c>
      <c r="H18" s="1" t="s">
        <v>44</v>
      </c>
      <c r="I18" s="1" t="s">
        <v>84</v>
      </c>
      <c r="J18" s="1" t="s">
        <v>47</v>
      </c>
    </row>
    <row r="19">
      <c r="A19" s="1" t="s">
        <v>94</v>
      </c>
      <c r="B19" s="2">
        <v>45459.0</v>
      </c>
      <c r="C19" s="1" t="s">
        <v>73</v>
      </c>
      <c r="D19" s="1">
        <v>19000.0</v>
      </c>
      <c r="E19" s="1">
        <v>1.0</v>
      </c>
      <c r="F19" s="1" t="s">
        <v>70</v>
      </c>
      <c r="G19" s="1" t="s">
        <v>95</v>
      </c>
      <c r="H19" s="1" t="s">
        <v>44</v>
      </c>
      <c r="I19" s="1" t="s">
        <v>45</v>
      </c>
      <c r="J19" s="1" t="s">
        <v>47</v>
      </c>
    </row>
    <row r="20">
      <c r="A20" s="1" t="s">
        <v>96</v>
      </c>
      <c r="B20" s="2">
        <v>45459.0</v>
      </c>
      <c r="C20" s="1" t="s">
        <v>68</v>
      </c>
      <c r="D20" s="1">
        <v>12000.0</v>
      </c>
      <c r="E20" s="1">
        <v>3.0</v>
      </c>
      <c r="F20" s="1" t="s">
        <v>70</v>
      </c>
      <c r="H20" s="1" t="s">
        <v>44</v>
      </c>
      <c r="I20" s="1" t="s">
        <v>45</v>
      </c>
      <c r="J20" s="1" t="s">
        <v>47</v>
      </c>
    </row>
    <row r="21" ht="15.75" customHeight="1">
      <c r="A21" s="1" t="s">
        <v>97</v>
      </c>
      <c r="B21" s="2">
        <v>45460.0</v>
      </c>
      <c r="C21" s="1" t="s">
        <v>68</v>
      </c>
      <c r="D21" s="1">
        <v>15990.0</v>
      </c>
      <c r="E21" s="1">
        <v>3.0</v>
      </c>
      <c r="F21" s="1" t="s">
        <v>70</v>
      </c>
      <c r="G21" s="1" t="s">
        <v>98</v>
      </c>
      <c r="H21" s="1" t="s">
        <v>44</v>
      </c>
      <c r="I21" s="1" t="s">
        <v>45</v>
      </c>
      <c r="J21" s="1" t="s">
        <v>47</v>
      </c>
    </row>
    <row r="22" ht="15.75" customHeight="1">
      <c r="A22" s="1" t="s">
        <v>99</v>
      </c>
      <c r="B22" s="2">
        <v>45460.0</v>
      </c>
      <c r="C22" s="1" t="s">
        <v>76</v>
      </c>
      <c r="D22" s="1">
        <v>22000.0</v>
      </c>
      <c r="E22" s="1">
        <v>1.0</v>
      </c>
      <c r="F22" s="1" t="s">
        <v>70</v>
      </c>
      <c r="H22" s="1" t="s">
        <v>44</v>
      </c>
      <c r="I22" s="1" t="s">
        <v>45</v>
      </c>
      <c r="J22" s="1" t="s">
        <v>47</v>
      </c>
    </row>
    <row r="23" ht="15.75" customHeight="1">
      <c r="A23" s="1" t="s">
        <v>100</v>
      </c>
      <c r="B23" s="2">
        <v>45460.0</v>
      </c>
      <c r="C23" s="1" t="s">
        <v>68</v>
      </c>
      <c r="D23" s="1">
        <v>15000.0</v>
      </c>
      <c r="E23" s="1">
        <v>1.0</v>
      </c>
      <c r="F23" s="1" t="s">
        <v>70</v>
      </c>
      <c r="H23" s="1" t="s">
        <v>44</v>
      </c>
      <c r="I23" s="1" t="s">
        <v>45</v>
      </c>
      <c r="J23" s="1" t="s">
        <v>47</v>
      </c>
    </row>
    <row r="24" ht="15.75" customHeight="1">
      <c r="A24" s="1" t="s">
        <v>101</v>
      </c>
      <c r="B24" s="2">
        <v>45461.0</v>
      </c>
      <c r="C24" s="1" t="s">
        <v>76</v>
      </c>
      <c r="D24" s="1">
        <v>10000.0</v>
      </c>
      <c r="E24" s="1">
        <v>1.0</v>
      </c>
      <c r="F24" s="1" t="s">
        <v>70</v>
      </c>
      <c r="H24" s="1" t="s">
        <v>44</v>
      </c>
      <c r="I24" s="1" t="s">
        <v>45</v>
      </c>
      <c r="J24" s="1" t="s">
        <v>47</v>
      </c>
    </row>
    <row r="25" ht="15.75" customHeight="1">
      <c r="A25" s="1" t="s">
        <v>102</v>
      </c>
      <c r="B25" s="2">
        <v>45462.0</v>
      </c>
      <c r="C25" s="1" t="s">
        <v>68</v>
      </c>
      <c r="D25" s="1">
        <v>32010.0</v>
      </c>
      <c r="E25" s="1">
        <v>3.0</v>
      </c>
      <c r="F25" s="1" t="s">
        <v>70</v>
      </c>
      <c r="H25" s="1" t="s">
        <v>44</v>
      </c>
      <c r="I25" s="1" t="s">
        <v>45</v>
      </c>
      <c r="J25" s="1" t="s">
        <v>47</v>
      </c>
    </row>
    <row r="26" ht="15.75" customHeight="1">
      <c r="A26" s="1" t="s">
        <v>103</v>
      </c>
      <c r="B26" s="2">
        <v>45463.0</v>
      </c>
      <c r="C26" s="1" t="s">
        <v>68</v>
      </c>
      <c r="D26" s="1">
        <v>18000.0</v>
      </c>
      <c r="E26" s="1">
        <v>3.0</v>
      </c>
      <c r="F26" s="1" t="s">
        <v>70</v>
      </c>
      <c r="G26" s="1" t="s">
        <v>104</v>
      </c>
      <c r="H26" s="1" t="s">
        <v>44</v>
      </c>
      <c r="I26" s="1" t="s">
        <v>45</v>
      </c>
      <c r="J26" s="1" t="s">
        <v>47</v>
      </c>
    </row>
    <row r="27" ht="15.75" customHeight="1">
      <c r="A27" s="1" t="s">
        <v>105</v>
      </c>
      <c r="B27" s="2">
        <v>45463.0</v>
      </c>
      <c r="C27" s="1" t="s">
        <v>82</v>
      </c>
      <c r="D27" s="1">
        <v>99990.0</v>
      </c>
      <c r="E27" s="1">
        <v>6.0</v>
      </c>
      <c r="F27" s="1" t="s">
        <v>70</v>
      </c>
      <c r="G27" s="1" t="s">
        <v>106</v>
      </c>
      <c r="H27" s="1" t="s">
        <v>44</v>
      </c>
      <c r="I27" s="1" t="s">
        <v>84</v>
      </c>
      <c r="J27" s="1" t="s">
        <v>47</v>
      </c>
    </row>
    <row r="28" ht="15.75" customHeight="1">
      <c r="A28" s="1" t="s">
        <v>107</v>
      </c>
      <c r="B28" s="2">
        <v>45463.0</v>
      </c>
      <c r="C28" s="1" t="s">
        <v>68</v>
      </c>
      <c r="D28" s="1">
        <v>32000.0</v>
      </c>
      <c r="E28" s="1">
        <v>1.0</v>
      </c>
      <c r="F28" s="1" t="s">
        <v>70</v>
      </c>
      <c r="H28" s="1" t="s">
        <v>44</v>
      </c>
      <c r="I28" s="1" t="s">
        <v>45</v>
      </c>
      <c r="J28" s="1" t="s">
        <v>47</v>
      </c>
    </row>
    <row r="29" ht="15.75" customHeight="1">
      <c r="A29" s="1" t="s">
        <v>108</v>
      </c>
      <c r="B29" s="2">
        <v>45464.0</v>
      </c>
      <c r="C29" s="1" t="s">
        <v>109</v>
      </c>
      <c r="D29" s="1">
        <v>64000.0</v>
      </c>
      <c r="E29" s="1">
        <v>1.0</v>
      </c>
      <c r="F29" s="1" t="s">
        <v>70</v>
      </c>
      <c r="G29" s="1" t="s">
        <v>110</v>
      </c>
      <c r="H29" s="1" t="s">
        <v>44</v>
      </c>
      <c r="I29" s="1" t="s">
        <v>45</v>
      </c>
      <c r="J29" s="1" t="s">
        <v>47</v>
      </c>
    </row>
    <row r="30" ht="15.75" customHeight="1">
      <c r="A30" s="1" t="s">
        <v>111</v>
      </c>
      <c r="B30" s="2">
        <v>45464.0</v>
      </c>
      <c r="C30" s="1" t="s">
        <v>73</v>
      </c>
      <c r="D30" s="1">
        <v>46000.0</v>
      </c>
      <c r="E30" s="1">
        <v>1.0</v>
      </c>
      <c r="F30" s="1" t="s">
        <v>70</v>
      </c>
      <c r="H30" s="1" t="s">
        <v>44</v>
      </c>
      <c r="I30" s="1" t="s">
        <v>45</v>
      </c>
      <c r="J30" s="1" t="s">
        <v>47</v>
      </c>
    </row>
    <row r="31" ht="15.75" customHeight="1">
      <c r="A31" s="1" t="s">
        <v>112</v>
      </c>
      <c r="B31" s="2">
        <v>45465.0</v>
      </c>
      <c r="C31" s="1" t="s">
        <v>82</v>
      </c>
      <c r="D31" s="1">
        <v>150.0</v>
      </c>
      <c r="E31" s="1">
        <v>1.0</v>
      </c>
      <c r="F31" s="1" t="s">
        <v>42</v>
      </c>
      <c r="G31" s="1" t="s">
        <v>113</v>
      </c>
      <c r="H31" s="1" t="s">
        <v>44</v>
      </c>
      <c r="I31" s="1" t="s">
        <v>84</v>
      </c>
      <c r="J31" s="1" t="s">
        <v>47</v>
      </c>
    </row>
    <row r="32" ht="15.75" customHeight="1">
      <c r="A32" s="1" t="s">
        <v>114</v>
      </c>
      <c r="B32" s="2">
        <v>45465.0</v>
      </c>
      <c r="C32" s="1" t="s">
        <v>82</v>
      </c>
      <c r="D32" s="1">
        <v>11.0</v>
      </c>
      <c r="E32" s="1">
        <v>1.0</v>
      </c>
      <c r="F32" s="1" t="s">
        <v>42</v>
      </c>
      <c r="G32" s="1" t="s">
        <v>115</v>
      </c>
      <c r="H32" s="1" t="s">
        <v>44</v>
      </c>
      <c r="I32" s="1" t="s">
        <v>84</v>
      </c>
      <c r="J32" s="1" t="s">
        <v>47</v>
      </c>
    </row>
    <row r="33" ht="15.75" customHeight="1">
      <c r="A33" s="1" t="s">
        <v>116</v>
      </c>
      <c r="B33" s="2">
        <v>45465.0</v>
      </c>
      <c r="C33" s="1" t="s">
        <v>76</v>
      </c>
      <c r="D33" s="1">
        <v>11000.0</v>
      </c>
      <c r="E33" s="1">
        <v>1.0</v>
      </c>
      <c r="F33" s="1" t="s">
        <v>70</v>
      </c>
      <c r="H33" s="1" t="s">
        <v>44</v>
      </c>
      <c r="I33" s="1" t="s">
        <v>45</v>
      </c>
      <c r="J33" s="1" t="s">
        <v>47</v>
      </c>
    </row>
    <row r="34" ht="15.75" customHeight="1">
      <c r="A34" s="1" t="s">
        <v>117</v>
      </c>
      <c r="B34" s="2">
        <v>45467.0</v>
      </c>
      <c r="C34" s="1" t="s">
        <v>118</v>
      </c>
      <c r="D34" s="1">
        <v>22000.0</v>
      </c>
      <c r="E34" s="1">
        <v>1.0</v>
      </c>
      <c r="F34" s="1" t="s">
        <v>70</v>
      </c>
      <c r="H34" s="1" t="s">
        <v>44</v>
      </c>
      <c r="I34" s="1" t="s">
        <v>45</v>
      </c>
      <c r="J34" s="1" t="s">
        <v>47</v>
      </c>
    </row>
    <row r="35" ht="15.75" customHeight="1">
      <c r="A35" s="1" t="s">
        <v>119</v>
      </c>
      <c r="B35" s="2">
        <v>45468.0</v>
      </c>
      <c r="C35" s="1" t="s">
        <v>82</v>
      </c>
      <c r="D35" s="1">
        <v>36000.0</v>
      </c>
      <c r="E35" s="1">
        <v>3.0</v>
      </c>
      <c r="F35" s="1" t="s">
        <v>70</v>
      </c>
      <c r="G35" s="1" t="s">
        <v>120</v>
      </c>
      <c r="H35" s="1" t="s">
        <v>44</v>
      </c>
      <c r="I35" s="1" t="s">
        <v>84</v>
      </c>
      <c r="J35" s="1" t="s">
        <v>47</v>
      </c>
    </row>
    <row r="36" ht="15.75" customHeight="1">
      <c r="A36" s="1" t="s">
        <v>121</v>
      </c>
      <c r="B36" s="2">
        <v>45469.0</v>
      </c>
      <c r="C36" s="1" t="s">
        <v>76</v>
      </c>
      <c r="D36" s="1">
        <v>8000.0</v>
      </c>
      <c r="E36" s="1">
        <v>1.0</v>
      </c>
      <c r="F36" s="1" t="s">
        <v>70</v>
      </c>
      <c r="H36" s="1" t="s">
        <v>44</v>
      </c>
      <c r="I36" s="1" t="s">
        <v>45</v>
      </c>
      <c r="J36" s="1" t="s">
        <v>47</v>
      </c>
    </row>
    <row r="37" ht="15.75" customHeight="1">
      <c r="A37" s="1" t="s">
        <v>122</v>
      </c>
      <c r="B37" s="2">
        <v>45470.0</v>
      </c>
      <c r="C37" s="1" t="s">
        <v>73</v>
      </c>
      <c r="D37" s="1">
        <v>70000.0</v>
      </c>
      <c r="E37" s="1">
        <v>1.0</v>
      </c>
      <c r="F37" s="1" t="s">
        <v>70</v>
      </c>
      <c r="H37" s="1" t="s">
        <v>44</v>
      </c>
      <c r="I37" s="1" t="s">
        <v>45</v>
      </c>
      <c r="J37" s="1" t="s">
        <v>47</v>
      </c>
    </row>
    <row r="38" ht="15.75" customHeight="1">
      <c r="A38" s="1" t="s">
        <v>123</v>
      </c>
      <c r="B38" s="2">
        <v>45471.0</v>
      </c>
      <c r="C38" s="1" t="s">
        <v>76</v>
      </c>
      <c r="D38" s="1">
        <v>14000.0</v>
      </c>
      <c r="E38" s="1">
        <v>1.0</v>
      </c>
      <c r="F38" s="1" t="s">
        <v>70</v>
      </c>
      <c r="H38" s="1" t="s">
        <v>44</v>
      </c>
      <c r="I38" s="1" t="s">
        <v>45</v>
      </c>
      <c r="J38" s="1" t="s">
        <v>47</v>
      </c>
    </row>
    <row r="39" ht="15.75" customHeight="1">
      <c r="A39" s="1" t="s">
        <v>124</v>
      </c>
      <c r="B39" s="2">
        <v>45472.0</v>
      </c>
      <c r="C39" s="1" t="s">
        <v>73</v>
      </c>
      <c r="D39" s="1">
        <v>45000.0</v>
      </c>
      <c r="E39" s="1">
        <v>1.0</v>
      </c>
      <c r="F39" s="1" t="s">
        <v>70</v>
      </c>
      <c r="G39" s="1" t="s">
        <v>125</v>
      </c>
      <c r="H39" s="1" t="s">
        <v>44</v>
      </c>
      <c r="I39" s="1" t="s">
        <v>45</v>
      </c>
      <c r="J39" s="1" t="s">
        <v>47</v>
      </c>
    </row>
    <row r="40" ht="15.75" customHeight="1">
      <c r="A40" s="1" t="s">
        <v>126</v>
      </c>
      <c r="B40" s="2">
        <v>45472.0</v>
      </c>
      <c r="C40" s="1" t="s">
        <v>73</v>
      </c>
      <c r="D40" s="1">
        <v>40000.0</v>
      </c>
      <c r="E40" s="1">
        <v>1.0</v>
      </c>
      <c r="F40" s="1" t="s">
        <v>70</v>
      </c>
      <c r="H40" s="1" t="s">
        <v>44</v>
      </c>
      <c r="I40" s="1" t="s">
        <v>45</v>
      </c>
      <c r="J40" s="1" t="s">
        <v>47</v>
      </c>
    </row>
    <row r="41" ht="15.75" customHeight="1">
      <c r="A41" s="1" t="s">
        <v>127</v>
      </c>
      <c r="B41" s="2">
        <v>45472.0</v>
      </c>
      <c r="C41" s="1" t="s">
        <v>68</v>
      </c>
      <c r="D41" s="1">
        <v>10000.0</v>
      </c>
      <c r="E41" s="1">
        <v>1.0</v>
      </c>
      <c r="F41" s="1" t="s">
        <v>70</v>
      </c>
      <c r="H41" s="1" t="s">
        <v>44</v>
      </c>
      <c r="I41" s="1" t="s">
        <v>45</v>
      </c>
      <c r="J41" s="1" t="s">
        <v>47</v>
      </c>
    </row>
    <row r="42" ht="15.75" customHeight="1">
      <c r="A42" s="1" t="s">
        <v>128</v>
      </c>
      <c r="B42" s="2">
        <v>45472.0</v>
      </c>
      <c r="C42" s="1" t="s">
        <v>73</v>
      </c>
      <c r="D42" s="1">
        <v>56000.0</v>
      </c>
      <c r="E42" s="1">
        <v>1.0</v>
      </c>
      <c r="F42" s="1" t="s">
        <v>70</v>
      </c>
      <c r="H42" s="1" t="s">
        <v>44</v>
      </c>
      <c r="I42" s="1" t="s">
        <v>45</v>
      </c>
      <c r="J42" s="1" t="s">
        <v>47</v>
      </c>
    </row>
    <row r="43" ht="15.75" customHeight="1">
      <c r="A43" s="1" t="s">
        <v>129</v>
      </c>
      <c r="B43" s="2">
        <v>45474.0</v>
      </c>
      <c r="C43" s="1" t="s">
        <v>68</v>
      </c>
      <c r="D43" s="1">
        <v>1200.0</v>
      </c>
      <c r="E43" s="1">
        <v>1.0</v>
      </c>
      <c r="F43" s="1" t="s">
        <v>70</v>
      </c>
      <c r="H43" s="1" t="s">
        <v>44</v>
      </c>
      <c r="I43" s="1" t="s">
        <v>45</v>
      </c>
      <c r="J43" s="1" t="s">
        <v>47</v>
      </c>
    </row>
    <row r="44" ht="15.75" customHeight="1">
      <c r="A44" s="1" t="s">
        <v>130</v>
      </c>
      <c r="B44" s="2">
        <v>45474.0</v>
      </c>
      <c r="C44" s="1" t="s">
        <v>40</v>
      </c>
      <c r="D44" s="1">
        <v>244.0</v>
      </c>
      <c r="E44" s="1">
        <v>1.0</v>
      </c>
      <c r="F44" s="1" t="s">
        <v>42</v>
      </c>
      <c r="H44" s="1" t="s">
        <v>44</v>
      </c>
      <c r="I44" s="1" t="s">
        <v>45</v>
      </c>
      <c r="J44" s="1" t="s">
        <v>47</v>
      </c>
    </row>
    <row r="45" ht="15.75" customHeight="1">
      <c r="A45" s="1" t="s">
        <v>131</v>
      </c>
      <c r="B45" s="2">
        <v>45474.0</v>
      </c>
      <c r="C45" s="1" t="s">
        <v>58</v>
      </c>
      <c r="D45" s="3">
        <v>1500.0</v>
      </c>
      <c r="E45" s="1">
        <v>1.0</v>
      </c>
      <c r="F45" s="1" t="s">
        <v>42</v>
      </c>
      <c r="H45" s="1" t="s">
        <v>66</v>
      </c>
      <c r="I45" s="1" t="s">
        <v>45</v>
      </c>
      <c r="J45" s="1" t="s">
        <v>47</v>
      </c>
    </row>
    <row r="46" ht="15.75" customHeight="1">
      <c r="A46" s="1" t="s">
        <v>132</v>
      </c>
      <c r="B46" s="2">
        <v>45475.0</v>
      </c>
      <c r="C46" s="1" t="s">
        <v>73</v>
      </c>
      <c r="D46" s="1">
        <v>73000.0</v>
      </c>
      <c r="E46" s="1">
        <v>1.0</v>
      </c>
      <c r="F46" s="1" t="s">
        <v>70</v>
      </c>
      <c r="G46" s="1" t="s">
        <v>133</v>
      </c>
      <c r="H46" s="1" t="s">
        <v>44</v>
      </c>
      <c r="I46" s="1" t="s">
        <v>45</v>
      </c>
      <c r="J46" s="1" t="s">
        <v>47</v>
      </c>
    </row>
    <row r="47" ht="15.75" customHeight="1">
      <c r="A47" s="1" t="s">
        <v>134</v>
      </c>
      <c r="B47" s="2">
        <v>45475.0</v>
      </c>
      <c r="C47" s="1" t="s">
        <v>76</v>
      </c>
      <c r="D47" s="1">
        <v>5000.0</v>
      </c>
      <c r="E47" s="1">
        <v>1.0</v>
      </c>
      <c r="F47" s="1" t="s">
        <v>70</v>
      </c>
      <c r="H47" s="1" t="s">
        <v>44</v>
      </c>
      <c r="I47" s="1" t="s">
        <v>45</v>
      </c>
      <c r="J47" s="1" t="s">
        <v>47</v>
      </c>
    </row>
    <row r="48" ht="15.75" customHeight="1">
      <c r="A48" s="1" t="s">
        <v>135</v>
      </c>
      <c r="B48" s="2">
        <v>45475.0</v>
      </c>
      <c r="C48" s="1" t="s">
        <v>68</v>
      </c>
      <c r="D48" s="1">
        <v>20000.0</v>
      </c>
      <c r="E48" s="1">
        <v>1.0</v>
      </c>
      <c r="F48" s="1" t="s">
        <v>70</v>
      </c>
      <c r="H48" s="1" t="s">
        <v>44</v>
      </c>
      <c r="I48" s="1" t="s">
        <v>45</v>
      </c>
      <c r="J48" s="1" t="s">
        <v>47</v>
      </c>
    </row>
    <row r="49" ht="15.75" customHeight="1">
      <c r="A49" s="1" t="s">
        <v>136</v>
      </c>
      <c r="B49" s="2">
        <v>45476.0</v>
      </c>
      <c r="C49" s="1" t="s">
        <v>82</v>
      </c>
      <c r="D49" s="1">
        <v>11490.0</v>
      </c>
      <c r="E49" s="1">
        <v>6.0</v>
      </c>
      <c r="F49" s="1" t="s">
        <v>70</v>
      </c>
      <c r="G49" s="1" t="s">
        <v>137</v>
      </c>
      <c r="H49" s="1" t="s">
        <v>44</v>
      </c>
      <c r="I49" s="1" t="s">
        <v>84</v>
      </c>
      <c r="J49" s="1" t="s">
        <v>47</v>
      </c>
    </row>
    <row r="50" ht="15.75" customHeight="1">
      <c r="A50" s="1" t="s">
        <v>138</v>
      </c>
      <c r="B50" s="2">
        <v>45477.0</v>
      </c>
      <c r="C50" s="1" t="s">
        <v>76</v>
      </c>
      <c r="D50" s="1">
        <v>17000.0</v>
      </c>
      <c r="E50" s="1">
        <v>1.0</v>
      </c>
      <c r="F50" s="1" t="s">
        <v>70</v>
      </c>
      <c r="H50" s="1" t="s">
        <v>44</v>
      </c>
      <c r="I50" s="1" t="s">
        <v>45</v>
      </c>
      <c r="J50" s="1" t="s">
        <v>47</v>
      </c>
    </row>
    <row r="51" ht="15.75" customHeight="1">
      <c r="A51" s="1" t="s">
        <v>139</v>
      </c>
      <c r="B51" s="2">
        <v>45478.0</v>
      </c>
      <c r="C51" s="1" t="s">
        <v>68</v>
      </c>
      <c r="D51" s="1">
        <v>27000.0</v>
      </c>
      <c r="E51" s="1">
        <v>1.0</v>
      </c>
      <c r="F51" s="1" t="s">
        <v>70</v>
      </c>
      <c r="H51" s="1" t="s">
        <v>44</v>
      </c>
      <c r="I51" s="1" t="s">
        <v>45</v>
      </c>
      <c r="J51" s="1" t="s">
        <v>47</v>
      </c>
    </row>
    <row r="52" ht="15.75" customHeight="1">
      <c r="A52" s="1" t="s">
        <v>140</v>
      </c>
      <c r="B52" s="2">
        <v>45479.0</v>
      </c>
      <c r="C52" s="1" t="s">
        <v>76</v>
      </c>
      <c r="D52" s="1">
        <v>9300.0</v>
      </c>
      <c r="E52" s="1">
        <v>1.0</v>
      </c>
      <c r="F52" s="1" t="s">
        <v>70</v>
      </c>
      <c r="H52" s="1" t="s">
        <v>44</v>
      </c>
      <c r="I52" s="1" t="s">
        <v>45</v>
      </c>
      <c r="J52" s="1" t="s">
        <v>47</v>
      </c>
    </row>
    <row r="53" ht="15.75" customHeight="1">
      <c r="A53" s="1" t="s">
        <v>142</v>
      </c>
      <c r="B53" s="2">
        <v>45479.0</v>
      </c>
      <c r="C53" s="1" t="s">
        <v>73</v>
      </c>
      <c r="D53" s="1">
        <v>15000.0</v>
      </c>
      <c r="E53" s="1">
        <v>3.0</v>
      </c>
      <c r="F53" s="1" t="s">
        <v>70</v>
      </c>
      <c r="H53" s="1" t="s">
        <v>44</v>
      </c>
      <c r="I53" s="1" t="s">
        <v>45</v>
      </c>
      <c r="J53" s="1" t="s">
        <v>47</v>
      </c>
    </row>
    <row r="54" ht="15.75" customHeight="1">
      <c r="A54" s="1" t="s">
        <v>144</v>
      </c>
      <c r="B54" s="2">
        <v>45479.0</v>
      </c>
      <c r="C54" s="1" t="s">
        <v>68</v>
      </c>
      <c r="D54" s="1">
        <v>6000.0</v>
      </c>
      <c r="E54" s="1">
        <v>3.0</v>
      </c>
      <c r="F54" s="1" t="s">
        <v>70</v>
      </c>
      <c r="H54" s="1" t="s">
        <v>44</v>
      </c>
      <c r="I54" s="1" t="s">
        <v>45</v>
      </c>
      <c r="J54" s="1" t="s">
        <v>47</v>
      </c>
    </row>
    <row r="55" ht="15.75" customHeight="1">
      <c r="A55" s="1" t="s">
        <v>145</v>
      </c>
      <c r="B55" s="2">
        <v>45480.0</v>
      </c>
      <c r="C55" s="1" t="s">
        <v>82</v>
      </c>
      <c r="D55" s="1">
        <v>1.0</v>
      </c>
      <c r="E55" s="1">
        <v>1.0</v>
      </c>
      <c r="F55" s="1" t="s">
        <v>42</v>
      </c>
      <c r="G55" s="1" t="s">
        <v>147</v>
      </c>
      <c r="H55" s="1" t="s">
        <v>44</v>
      </c>
      <c r="I55" s="1" t="s">
        <v>84</v>
      </c>
      <c r="J55" s="1" t="s">
        <v>47</v>
      </c>
    </row>
    <row r="56" ht="15.75" customHeight="1">
      <c r="A56" s="1" t="s">
        <v>148</v>
      </c>
      <c r="B56" s="2">
        <v>45480.0</v>
      </c>
      <c r="C56" s="1" t="s">
        <v>73</v>
      </c>
      <c r="D56" s="1">
        <v>23000.0</v>
      </c>
      <c r="E56" s="1">
        <v>1.0</v>
      </c>
      <c r="F56" s="1" t="s">
        <v>70</v>
      </c>
      <c r="H56" s="1" t="s">
        <v>44</v>
      </c>
      <c r="I56" s="1" t="s">
        <v>45</v>
      </c>
      <c r="J56" s="1" t="s">
        <v>47</v>
      </c>
    </row>
    <row r="57" ht="15.75" customHeight="1">
      <c r="A57" s="1" t="s">
        <v>149</v>
      </c>
      <c r="B57" s="2">
        <v>45482.0</v>
      </c>
      <c r="C57" s="1" t="s">
        <v>73</v>
      </c>
      <c r="D57" s="1">
        <v>32000.0</v>
      </c>
      <c r="E57" s="1">
        <v>1.0</v>
      </c>
      <c r="F57" s="1" t="s">
        <v>70</v>
      </c>
      <c r="H57" s="1" t="s">
        <v>44</v>
      </c>
      <c r="I57" s="1" t="s">
        <v>45</v>
      </c>
      <c r="J57" s="1" t="s">
        <v>47</v>
      </c>
    </row>
    <row r="58" ht="15.75" customHeight="1">
      <c r="A58" s="1" t="s">
        <v>150</v>
      </c>
      <c r="B58" s="2">
        <v>45482.0</v>
      </c>
      <c r="C58" s="1" t="s">
        <v>76</v>
      </c>
      <c r="D58" s="1">
        <v>15000.0</v>
      </c>
      <c r="E58" s="1">
        <v>1.0</v>
      </c>
      <c r="F58" s="1" t="s">
        <v>70</v>
      </c>
      <c r="H58" s="1" t="s">
        <v>44</v>
      </c>
      <c r="I58" s="1" t="s">
        <v>45</v>
      </c>
      <c r="J58" s="1" t="s">
        <v>47</v>
      </c>
    </row>
    <row r="59" ht="15.75" customHeight="1">
      <c r="A59" s="1" t="s">
        <v>151</v>
      </c>
      <c r="B59" s="2">
        <v>45482.0</v>
      </c>
      <c r="C59" s="1" t="s">
        <v>68</v>
      </c>
      <c r="D59" s="1">
        <v>114000.0</v>
      </c>
      <c r="E59" s="1">
        <v>3.0</v>
      </c>
      <c r="F59" s="1" t="s">
        <v>70</v>
      </c>
      <c r="H59" s="1" t="s">
        <v>44</v>
      </c>
      <c r="I59" s="1" t="s">
        <v>45</v>
      </c>
      <c r="J59" s="1" t="s">
        <v>47</v>
      </c>
    </row>
    <row r="60" ht="15.75" customHeight="1">
      <c r="A60" s="1" t="s">
        <v>152</v>
      </c>
      <c r="B60" s="2">
        <v>45483.0</v>
      </c>
      <c r="C60" s="1" t="s">
        <v>76</v>
      </c>
      <c r="D60" s="1">
        <v>25500.0</v>
      </c>
      <c r="E60" s="1">
        <v>1.0</v>
      </c>
      <c r="F60" s="1" t="s">
        <v>70</v>
      </c>
      <c r="H60" s="1" t="s">
        <v>44</v>
      </c>
      <c r="I60" s="1" t="s">
        <v>45</v>
      </c>
      <c r="J60" s="1" t="s">
        <v>47</v>
      </c>
    </row>
    <row r="61" ht="15.75" customHeight="1">
      <c r="A61" s="1" t="s">
        <v>153</v>
      </c>
      <c r="B61" s="2">
        <v>45483.0</v>
      </c>
      <c r="C61" s="1" t="s">
        <v>82</v>
      </c>
      <c r="D61" s="1">
        <v>11610.0</v>
      </c>
      <c r="E61" s="1">
        <v>6.0</v>
      </c>
      <c r="F61" s="1" t="s">
        <v>70</v>
      </c>
      <c r="H61" s="1" t="s">
        <v>44</v>
      </c>
      <c r="I61" s="1" t="s">
        <v>84</v>
      </c>
      <c r="J61" s="1" t="s">
        <v>47</v>
      </c>
    </row>
    <row r="62" ht="15.75" customHeight="1">
      <c r="A62" s="1" t="s">
        <v>154</v>
      </c>
      <c r="B62" s="2">
        <v>45485.0</v>
      </c>
      <c r="C62" s="1" t="s">
        <v>76</v>
      </c>
      <c r="D62" s="1">
        <v>11000.0</v>
      </c>
      <c r="E62" s="1">
        <v>1.0</v>
      </c>
      <c r="F62" s="1" t="s">
        <v>70</v>
      </c>
      <c r="H62" s="1" t="s">
        <v>44</v>
      </c>
      <c r="I62" s="1" t="s">
        <v>45</v>
      </c>
      <c r="J62" s="1" t="s">
        <v>47</v>
      </c>
    </row>
    <row r="63" ht="15.75" customHeight="1">
      <c r="A63" s="1" t="s">
        <v>155</v>
      </c>
      <c r="B63" s="2">
        <v>45486.0</v>
      </c>
      <c r="C63" s="1" t="s">
        <v>82</v>
      </c>
      <c r="D63" s="1">
        <v>13000.0</v>
      </c>
      <c r="E63" s="1">
        <v>1.0</v>
      </c>
      <c r="F63" s="1" t="s">
        <v>70</v>
      </c>
      <c r="G63" s="1" t="s">
        <v>156</v>
      </c>
      <c r="H63" s="1" t="s">
        <v>44</v>
      </c>
      <c r="I63" s="1" t="s">
        <v>84</v>
      </c>
      <c r="J63" s="1" t="s">
        <v>47</v>
      </c>
    </row>
    <row r="64" ht="15.75" customHeight="1">
      <c r="A64" s="1" t="s">
        <v>157</v>
      </c>
      <c r="B64" s="2">
        <v>45486.0</v>
      </c>
      <c r="C64" s="1" t="s">
        <v>68</v>
      </c>
      <c r="D64" s="1">
        <v>12000.0</v>
      </c>
      <c r="E64" s="1">
        <v>1.0</v>
      </c>
      <c r="F64" s="1" t="s">
        <v>70</v>
      </c>
      <c r="H64" s="1" t="s">
        <v>44</v>
      </c>
      <c r="I64" s="1" t="s">
        <v>45</v>
      </c>
      <c r="J64" s="1" t="s">
        <v>47</v>
      </c>
    </row>
    <row r="65" ht="15.75" customHeight="1">
      <c r="A65" s="1" t="s">
        <v>158</v>
      </c>
      <c r="B65" s="2">
        <v>45486.0</v>
      </c>
      <c r="C65" s="1" t="s">
        <v>76</v>
      </c>
      <c r="D65" s="1">
        <v>9000.0</v>
      </c>
      <c r="E65" s="1">
        <v>1.0</v>
      </c>
      <c r="F65" s="1" t="s">
        <v>70</v>
      </c>
      <c r="H65" s="1" t="s">
        <v>44</v>
      </c>
      <c r="I65" s="1" t="s">
        <v>45</v>
      </c>
      <c r="J65" s="1" t="s">
        <v>47</v>
      </c>
    </row>
    <row r="66" ht="15.75" customHeight="1">
      <c r="A66" s="1" t="s">
        <v>159</v>
      </c>
      <c r="B66" s="2">
        <v>45486.0</v>
      </c>
      <c r="C66" s="1" t="s">
        <v>76</v>
      </c>
      <c r="D66" s="1">
        <v>3000.0</v>
      </c>
      <c r="E66" s="1">
        <v>1.0</v>
      </c>
      <c r="F66" s="1" t="s">
        <v>70</v>
      </c>
      <c r="H66" s="1" t="s">
        <v>44</v>
      </c>
      <c r="I66" s="1" t="s">
        <v>45</v>
      </c>
      <c r="J66" s="1" t="s">
        <v>47</v>
      </c>
    </row>
    <row r="67" ht="15.75" customHeight="1">
      <c r="A67" s="1" t="s">
        <v>160</v>
      </c>
      <c r="B67" s="2">
        <v>45486.0</v>
      </c>
      <c r="C67" s="1" t="s">
        <v>68</v>
      </c>
      <c r="D67" s="1">
        <v>18000.0</v>
      </c>
      <c r="E67" s="1">
        <v>1.0</v>
      </c>
      <c r="F67" s="1" t="s">
        <v>70</v>
      </c>
      <c r="H67" s="1" t="s">
        <v>44</v>
      </c>
      <c r="I67" s="1" t="s">
        <v>45</v>
      </c>
      <c r="J67" s="1" t="s">
        <v>47</v>
      </c>
    </row>
    <row r="68" ht="15.75" customHeight="1">
      <c r="A68" s="1" t="s">
        <v>161</v>
      </c>
      <c r="B68" s="2">
        <v>45487.0</v>
      </c>
      <c r="C68" s="1" t="s">
        <v>68</v>
      </c>
      <c r="D68" s="1">
        <v>9990.0</v>
      </c>
      <c r="E68" s="1">
        <v>3.0</v>
      </c>
      <c r="F68" s="1" t="s">
        <v>70</v>
      </c>
      <c r="H68" s="1" t="s">
        <v>44</v>
      </c>
      <c r="I68" s="1" t="s">
        <v>45</v>
      </c>
      <c r="J68" s="1" t="s">
        <v>47</v>
      </c>
    </row>
    <row r="69" ht="15.75" customHeight="1">
      <c r="A69" s="1" t="s">
        <v>162</v>
      </c>
      <c r="B69" s="2">
        <v>45487.0</v>
      </c>
      <c r="C69" s="1" t="s">
        <v>73</v>
      </c>
      <c r="D69" s="1">
        <v>23610.0</v>
      </c>
      <c r="E69" s="1">
        <v>3.0</v>
      </c>
      <c r="F69" s="1" t="s">
        <v>70</v>
      </c>
      <c r="H69" s="1" t="s">
        <v>44</v>
      </c>
      <c r="I69" s="1" t="s">
        <v>45</v>
      </c>
      <c r="J69" s="1" t="s">
        <v>47</v>
      </c>
    </row>
    <row r="70" ht="15.75" customHeight="1">
      <c r="A70" s="1" t="s">
        <v>163</v>
      </c>
      <c r="B70" s="2">
        <v>45488.0</v>
      </c>
      <c r="C70" s="1" t="s">
        <v>82</v>
      </c>
      <c r="D70" s="1">
        <v>35010.0</v>
      </c>
      <c r="E70" s="1">
        <v>6.0</v>
      </c>
      <c r="F70" s="1" t="s">
        <v>70</v>
      </c>
      <c r="G70" s="1" t="s">
        <v>164</v>
      </c>
      <c r="H70" s="1" t="s">
        <v>44</v>
      </c>
      <c r="I70" s="1" t="s">
        <v>84</v>
      </c>
      <c r="J70" s="1" t="s">
        <v>47</v>
      </c>
    </row>
    <row r="71" ht="15.75" customHeight="1">
      <c r="A71" s="1" t="s">
        <v>165</v>
      </c>
      <c r="B71" s="2">
        <v>45488.0</v>
      </c>
      <c r="C71" s="1" t="s">
        <v>68</v>
      </c>
      <c r="D71" s="1">
        <v>7000.0</v>
      </c>
      <c r="E71" s="1">
        <v>1.0</v>
      </c>
      <c r="F71" s="1" t="s">
        <v>70</v>
      </c>
      <c r="H71" s="1" t="s">
        <v>44</v>
      </c>
      <c r="I71" s="1" t="s">
        <v>45</v>
      </c>
      <c r="J71" s="1" t="s">
        <v>47</v>
      </c>
    </row>
    <row r="72" ht="15.75" customHeight="1">
      <c r="A72" s="1" t="s">
        <v>166</v>
      </c>
      <c r="B72" s="2">
        <v>45488.0</v>
      </c>
      <c r="C72" s="1" t="s">
        <v>118</v>
      </c>
      <c r="D72" s="1">
        <v>22250.0</v>
      </c>
      <c r="E72" s="1">
        <v>1.0</v>
      </c>
      <c r="F72" s="1" t="s">
        <v>70</v>
      </c>
      <c r="H72" s="1" t="s">
        <v>44</v>
      </c>
      <c r="I72" s="1" t="s">
        <v>45</v>
      </c>
      <c r="J72" s="1" t="s">
        <v>47</v>
      </c>
    </row>
    <row r="73" ht="15.75" customHeight="1">
      <c r="A73" s="1" t="s">
        <v>167</v>
      </c>
      <c r="B73" s="2">
        <v>45489.0</v>
      </c>
      <c r="C73" s="1" t="s">
        <v>109</v>
      </c>
      <c r="D73" s="1">
        <v>87000.0</v>
      </c>
      <c r="E73" s="1">
        <v>1.0</v>
      </c>
      <c r="F73" s="1" t="s">
        <v>70</v>
      </c>
      <c r="G73" s="1" t="s">
        <v>168</v>
      </c>
      <c r="H73" s="1" t="s">
        <v>44</v>
      </c>
      <c r="I73" s="1" t="s">
        <v>45</v>
      </c>
      <c r="J73" s="1" t="s">
        <v>47</v>
      </c>
    </row>
    <row r="74" ht="15.75" customHeight="1">
      <c r="A74" s="1" t="s">
        <v>169</v>
      </c>
      <c r="B74" s="2">
        <v>45490.0</v>
      </c>
      <c r="C74" s="1" t="s">
        <v>68</v>
      </c>
      <c r="D74" s="1">
        <v>21000.0</v>
      </c>
      <c r="E74" s="1">
        <v>3.0</v>
      </c>
      <c r="F74" s="1" t="s">
        <v>70</v>
      </c>
      <c r="G74" s="1" t="s">
        <v>170</v>
      </c>
      <c r="H74" s="1" t="s">
        <v>44</v>
      </c>
      <c r="I74" s="1" t="s">
        <v>45</v>
      </c>
      <c r="J74" s="1" t="s">
        <v>47</v>
      </c>
    </row>
    <row r="75" ht="15.75" customHeight="1">
      <c r="A75" s="1" t="s">
        <v>171</v>
      </c>
      <c r="B75" s="2">
        <v>45490.0</v>
      </c>
      <c r="C75" s="1" t="s">
        <v>82</v>
      </c>
      <c r="D75" s="1">
        <v>85500.0</v>
      </c>
      <c r="E75" s="1">
        <v>6.0</v>
      </c>
      <c r="F75" s="1" t="s">
        <v>70</v>
      </c>
      <c r="G75" s="1" t="s">
        <v>172</v>
      </c>
      <c r="H75" s="1" t="s">
        <v>44</v>
      </c>
      <c r="I75" s="1" t="s">
        <v>84</v>
      </c>
      <c r="J75" s="1" t="s">
        <v>47</v>
      </c>
    </row>
    <row r="76" ht="15.75" customHeight="1">
      <c r="A76" s="1" t="s">
        <v>173</v>
      </c>
      <c r="B76" s="2">
        <v>45490.0</v>
      </c>
      <c r="C76" s="1" t="s">
        <v>76</v>
      </c>
      <c r="D76" s="1">
        <v>12000.0</v>
      </c>
      <c r="E76" s="1">
        <v>1.0</v>
      </c>
      <c r="F76" s="1" t="s">
        <v>70</v>
      </c>
      <c r="H76" s="1" t="s">
        <v>44</v>
      </c>
      <c r="I76" s="1" t="s">
        <v>45</v>
      </c>
      <c r="J76" s="1" t="s">
        <v>47</v>
      </c>
    </row>
    <row r="77" ht="15.75" customHeight="1">
      <c r="A77" s="1" t="s">
        <v>174</v>
      </c>
      <c r="B77" s="2">
        <v>45491.0</v>
      </c>
      <c r="C77" s="1" t="s">
        <v>76</v>
      </c>
      <c r="D77" s="1">
        <v>4000.0</v>
      </c>
      <c r="E77" s="1">
        <v>1.0</v>
      </c>
      <c r="F77" s="1" t="s">
        <v>70</v>
      </c>
      <c r="H77" s="1" t="s">
        <v>44</v>
      </c>
      <c r="I77" s="1" t="s">
        <v>45</v>
      </c>
      <c r="J77" s="1" t="s">
        <v>47</v>
      </c>
    </row>
    <row r="78" ht="15.75" customHeight="1">
      <c r="A78" s="1" t="s">
        <v>175</v>
      </c>
      <c r="B78" s="2">
        <v>45491.0</v>
      </c>
      <c r="C78" s="1" t="s">
        <v>73</v>
      </c>
      <c r="D78" s="1">
        <v>98310.0</v>
      </c>
      <c r="E78" s="1">
        <v>3.0</v>
      </c>
      <c r="F78" s="1" t="s">
        <v>70</v>
      </c>
      <c r="H78" s="1" t="s">
        <v>44</v>
      </c>
      <c r="I78" s="1" t="s">
        <v>45</v>
      </c>
      <c r="J78" s="1" t="s">
        <v>47</v>
      </c>
    </row>
    <row r="79" ht="15.75" customHeight="1">
      <c r="A79" s="1" t="s">
        <v>176</v>
      </c>
      <c r="B79" s="2">
        <v>45492.0</v>
      </c>
      <c r="C79" s="1" t="s">
        <v>68</v>
      </c>
      <c r="D79" s="1">
        <v>50000.0</v>
      </c>
      <c r="E79" s="1">
        <v>1.0</v>
      </c>
      <c r="F79" s="1" t="s">
        <v>70</v>
      </c>
      <c r="H79" s="1" t="s">
        <v>44</v>
      </c>
      <c r="I79" s="1" t="s">
        <v>45</v>
      </c>
      <c r="J79" s="1" t="s">
        <v>47</v>
      </c>
    </row>
    <row r="80" ht="15.75" customHeight="1">
      <c r="A80" s="1" t="s">
        <v>177</v>
      </c>
      <c r="B80" s="2">
        <v>45493.0</v>
      </c>
      <c r="C80" s="1" t="s">
        <v>82</v>
      </c>
      <c r="D80" s="1">
        <v>48989.99999999999</v>
      </c>
      <c r="E80" s="1">
        <v>6.0</v>
      </c>
      <c r="F80" s="1" t="s">
        <v>70</v>
      </c>
      <c r="G80" s="1" t="s">
        <v>178</v>
      </c>
      <c r="H80" s="1" t="s">
        <v>44</v>
      </c>
      <c r="I80" s="1" t="s">
        <v>84</v>
      </c>
      <c r="J80" s="1" t="s">
        <v>47</v>
      </c>
    </row>
    <row r="81" ht="15.75" customHeight="1">
      <c r="A81" s="1" t="s">
        <v>179</v>
      </c>
      <c r="B81" s="2">
        <v>45493.0</v>
      </c>
      <c r="C81" s="1" t="s">
        <v>68</v>
      </c>
      <c r="D81" s="1">
        <v>14000.0</v>
      </c>
      <c r="E81" s="1">
        <v>1.0</v>
      </c>
      <c r="F81" s="1" t="s">
        <v>70</v>
      </c>
      <c r="H81" s="1" t="s">
        <v>44</v>
      </c>
      <c r="I81" s="1" t="s">
        <v>45</v>
      </c>
      <c r="J81" s="1" t="s">
        <v>47</v>
      </c>
    </row>
    <row r="82" ht="15.75" customHeight="1">
      <c r="A82" s="1" t="s">
        <v>180</v>
      </c>
      <c r="B82" s="2">
        <v>45494.0</v>
      </c>
      <c r="C82" s="1" t="s">
        <v>109</v>
      </c>
      <c r="D82" s="1">
        <v>64000.0</v>
      </c>
      <c r="E82" s="1">
        <v>1.0</v>
      </c>
      <c r="F82" s="1" t="s">
        <v>70</v>
      </c>
      <c r="G82" s="1" t="s">
        <v>110</v>
      </c>
      <c r="H82" s="1" t="s">
        <v>44</v>
      </c>
      <c r="I82" s="1" t="s">
        <v>45</v>
      </c>
      <c r="J82" s="1" t="s">
        <v>47</v>
      </c>
    </row>
    <row r="83" ht="15.75" customHeight="1">
      <c r="A83" s="1" t="s">
        <v>181</v>
      </c>
      <c r="B83" s="2">
        <v>45494.0</v>
      </c>
      <c r="C83" s="1" t="s">
        <v>76</v>
      </c>
      <c r="D83" s="1">
        <v>17000.0</v>
      </c>
      <c r="E83" s="1">
        <v>1.0</v>
      </c>
      <c r="F83" s="1" t="s">
        <v>70</v>
      </c>
      <c r="H83" s="1" t="s">
        <v>44</v>
      </c>
      <c r="I83" s="1" t="s">
        <v>45</v>
      </c>
      <c r="J83" s="1" t="s">
        <v>47</v>
      </c>
    </row>
    <row r="84" ht="15.75" customHeight="1">
      <c r="A84" s="1" t="s">
        <v>182</v>
      </c>
      <c r="B84" s="2">
        <v>45495.0</v>
      </c>
      <c r="C84" s="1" t="s">
        <v>68</v>
      </c>
      <c r="D84" s="1">
        <v>4000.0</v>
      </c>
      <c r="E84" s="1">
        <v>1.0</v>
      </c>
      <c r="F84" s="1" t="s">
        <v>70</v>
      </c>
      <c r="H84" s="1" t="s">
        <v>44</v>
      </c>
      <c r="I84" s="1" t="s">
        <v>45</v>
      </c>
      <c r="J84" s="1" t="s">
        <v>47</v>
      </c>
    </row>
    <row r="85" ht="15.75" customHeight="1">
      <c r="A85" s="1" t="s">
        <v>183</v>
      </c>
      <c r="B85" s="2">
        <v>45495.0</v>
      </c>
      <c r="C85" s="1" t="s">
        <v>76</v>
      </c>
      <c r="D85" s="1">
        <v>26000.0</v>
      </c>
      <c r="E85" s="1">
        <v>1.0</v>
      </c>
      <c r="F85" s="1" t="s">
        <v>70</v>
      </c>
      <c r="H85" s="1" t="s">
        <v>44</v>
      </c>
      <c r="I85" s="1" t="s">
        <v>45</v>
      </c>
      <c r="J85" s="1" t="s">
        <v>47</v>
      </c>
    </row>
    <row r="86" ht="15.75" customHeight="1">
      <c r="A86" s="1" t="s">
        <v>184</v>
      </c>
      <c r="B86" s="2">
        <v>45496.0</v>
      </c>
      <c r="C86" s="1" t="s">
        <v>76</v>
      </c>
      <c r="D86" s="1">
        <v>12000.0</v>
      </c>
      <c r="E86" s="1">
        <v>1.0</v>
      </c>
      <c r="F86" s="1" t="s">
        <v>70</v>
      </c>
      <c r="H86" s="1" t="s">
        <v>44</v>
      </c>
      <c r="I86" s="1" t="s">
        <v>45</v>
      </c>
      <c r="J86" s="1" t="s">
        <v>47</v>
      </c>
    </row>
    <row r="87" ht="15.75" customHeight="1">
      <c r="A87" s="1" t="s">
        <v>185</v>
      </c>
      <c r="B87" s="2">
        <v>45497.0</v>
      </c>
      <c r="C87" s="1" t="s">
        <v>76</v>
      </c>
      <c r="D87" s="1">
        <v>8100.0</v>
      </c>
      <c r="E87" s="1">
        <v>1.0</v>
      </c>
      <c r="F87" s="1" t="s">
        <v>70</v>
      </c>
      <c r="H87" s="1" t="s">
        <v>44</v>
      </c>
      <c r="I87" s="1" t="s">
        <v>45</v>
      </c>
      <c r="J87" s="1" t="s">
        <v>47</v>
      </c>
    </row>
    <row r="88" ht="15.75" customHeight="1">
      <c r="A88" s="1" t="s">
        <v>186</v>
      </c>
      <c r="B88" s="2">
        <v>45498.0</v>
      </c>
      <c r="C88" s="1" t="s">
        <v>76</v>
      </c>
      <c r="D88" s="1">
        <v>4000.0</v>
      </c>
      <c r="E88" s="1">
        <v>1.0</v>
      </c>
      <c r="F88" s="1" t="s">
        <v>70</v>
      </c>
      <c r="H88" s="1" t="s">
        <v>44</v>
      </c>
      <c r="I88" s="1" t="s">
        <v>45</v>
      </c>
      <c r="J88" s="1" t="s">
        <v>47</v>
      </c>
    </row>
    <row r="89" ht="15.75" customHeight="1">
      <c r="A89" s="1" t="s">
        <v>187</v>
      </c>
      <c r="B89" s="2">
        <v>45498.0</v>
      </c>
      <c r="C89" s="1" t="s">
        <v>68</v>
      </c>
      <c r="D89" s="1">
        <v>12990.0</v>
      </c>
      <c r="E89" s="1">
        <v>3.0</v>
      </c>
      <c r="F89" s="1" t="s">
        <v>70</v>
      </c>
      <c r="H89" s="1" t="s">
        <v>44</v>
      </c>
      <c r="I89" s="1" t="s">
        <v>45</v>
      </c>
      <c r="J89" s="1" t="s">
        <v>47</v>
      </c>
    </row>
    <row r="90" ht="15.75" customHeight="1">
      <c r="A90" s="1" t="s">
        <v>188</v>
      </c>
      <c r="B90" s="2">
        <v>45499.0</v>
      </c>
      <c r="C90" s="1" t="s">
        <v>68</v>
      </c>
      <c r="D90" s="1">
        <v>15000.0</v>
      </c>
      <c r="E90" s="1">
        <v>1.0</v>
      </c>
      <c r="F90" s="1" t="s">
        <v>70</v>
      </c>
      <c r="H90" s="1" t="s">
        <v>44</v>
      </c>
      <c r="I90" s="1" t="s">
        <v>45</v>
      </c>
      <c r="J90" s="1" t="s">
        <v>47</v>
      </c>
    </row>
    <row r="91" ht="15.75" customHeight="1">
      <c r="A91" s="1" t="s">
        <v>189</v>
      </c>
      <c r="B91" s="2">
        <v>45500.0</v>
      </c>
      <c r="C91" s="1" t="s">
        <v>82</v>
      </c>
      <c r="D91" s="1">
        <v>35010.0</v>
      </c>
      <c r="E91" s="1">
        <v>6.0</v>
      </c>
      <c r="F91" s="1" t="s">
        <v>70</v>
      </c>
      <c r="G91" s="1" t="s">
        <v>190</v>
      </c>
      <c r="H91" s="1" t="s">
        <v>44</v>
      </c>
      <c r="I91" s="1" t="s">
        <v>84</v>
      </c>
      <c r="J91" s="1" t="s">
        <v>47</v>
      </c>
    </row>
    <row r="92" ht="15.75" customHeight="1">
      <c r="A92" s="1" t="s">
        <v>191</v>
      </c>
      <c r="B92" s="2">
        <v>45500.0</v>
      </c>
      <c r="C92" s="1" t="s">
        <v>68</v>
      </c>
      <c r="D92" s="1">
        <v>15000.0</v>
      </c>
      <c r="E92" s="1">
        <v>1.0</v>
      </c>
      <c r="F92" s="1" t="s">
        <v>70</v>
      </c>
      <c r="H92" s="1" t="s">
        <v>44</v>
      </c>
      <c r="I92" s="1" t="s">
        <v>45</v>
      </c>
      <c r="J92" s="1" t="s">
        <v>47</v>
      </c>
    </row>
    <row r="93" ht="15.75" customHeight="1">
      <c r="A93" s="1">
        <v>6.7937924E7</v>
      </c>
      <c r="B93" s="2">
        <v>45500.0</v>
      </c>
      <c r="C93" s="1" t="s">
        <v>76</v>
      </c>
      <c r="D93" s="1">
        <v>36000.0</v>
      </c>
      <c r="E93" s="1">
        <v>1.0</v>
      </c>
      <c r="F93" s="1" t="s">
        <v>70</v>
      </c>
      <c r="H93" s="1" t="s">
        <v>44</v>
      </c>
      <c r="I93" s="1" t="s">
        <v>45</v>
      </c>
      <c r="J93" s="1" t="s">
        <v>47</v>
      </c>
    </row>
    <row r="94" ht="15.75" customHeight="1">
      <c r="A94" s="1" t="s">
        <v>192</v>
      </c>
      <c r="B94" s="2">
        <v>45500.0</v>
      </c>
      <c r="C94" s="1" t="s">
        <v>73</v>
      </c>
      <c r="D94" s="1">
        <v>26010.0</v>
      </c>
      <c r="E94" s="1">
        <v>3.0</v>
      </c>
      <c r="F94" s="1" t="s">
        <v>70</v>
      </c>
      <c r="H94" s="1" t="s">
        <v>44</v>
      </c>
      <c r="I94" s="1" t="s">
        <v>45</v>
      </c>
      <c r="J94" s="1" t="s">
        <v>47</v>
      </c>
    </row>
    <row r="95" ht="15.75" customHeight="1">
      <c r="A95" s="1" t="s">
        <v>193</v>
      </c>
      <c r="B95" s="2">
        <v>45501.0</v>
      </c>
      <c r="C95" s="1" t="s">
        <v>109</v>
      </c>
      <c r="D95" s="1">
        <v>12000.0</v>
      </c>
      <c r="E95" s="1">
        <v>6.0</v>
      </c>
      <c r="F95" s="1" t="s">
        <v>70</v>
      </c>
      <c r="G95" s="1" t="s">
        <v>194</v>
      </c>
      <c r="H95" s="1" t="s">
        <v>44</v>
      </c>
      <c r="I95" s="1" t="s">
        <v>45</v>
      </c>
      <c r="J95" s="1" t="s">
        <v>47</v>
      </c>
    </row>
    <row r="96" ht="15.75" customHeight="1">
      <c r="A96" s="1" t="s">
        <v>195</v>
      </c>
      <c r="B96" s="2">
        <v>45501.0</v>
      </c>
      <c r="C96" s="1" t="s">
        <v>73</v>
      </c>
      <c r="D96" s="1">
        <v>17310.0</v>
      </c>
      <c r="E96" s="1">
        <v>3.0</v>
      </c>
      <c r="F96" s="1" t="s">
        <v>70</v>
      </c>
      <c r="H96" s="1" t="s">
        <v>44</v>
      </c>
      <c r="I96" s="1" t="s">
        <v>45</v>
      </c>
      <c r="J96" s="1" t="s">
        <v>47</v>
      </c>
    </row>
    <row r="97" ht="15.75" customHeight="1">
      <c r="A97" s="1" t="s">
        <v>197</v>
      </c>
      <c r="B97" s="2">
        <v>45502.0</v>
      </c>
      <c r="C97" s="1" t="s">
        <v>82</v>
      </c>
      <c r="D97" s="1">
        <v>9000.0</v>
      </c>
      <c r="E97" s="1">
        <v>1.0</v>
      </c>
      <c r="F97" s="1" t="s">
        <v>70</v>
      </c>
      <c r="H97" s="1" t="s">
        <v>44</v>
      </c>
      <c r="I97" s="1" t="s">
        <v>84</v>
      </c>
      <c r="J97" s="1" t="s">
        <v>47</v>
      </c>
    </row>
    <row r="98" ht="15.75" customHeight="1">
      <c r="A98" s="1" t="s">
        <v>198</v>
      </c>
      <c r="B98" s="2">
        <v>45502.0</v>
      </c>
      <c r="C98" s="1" t="s">
        <v>73</v>
      </c>
      <c r="D98" s="1">
        <v>46000.0</v>
      </c>
      <c r="E98" s="1">
        <v>1.0</v>
      </c>
      <c r="F98" s="1" t="s">
        <v>70</v>
      </c>
      <c r="H98" s="1" t="s">
        <v>44</v>
      </c>
      <c r="I98" s="1" t="s">
        <v>45</v>
      </c>
      <c r="J98" s="1" t="s">
        <v>47</v>
      </c>
    </row>
    <row r="99" ht="15.75" customHeight="1">
      <c r="A99" s="1" t="s">
        <v>199</v>
      </c>
      <c r="B99" s="2">
        <v>45502.0</v>
      </c>
      <c r="C99" s="1" t="s">
        <v>68</v>
      </c>
      <c r="D99" s="1">
        <v>4000.0</v>
      </c>
      <c r="E99" s="1">
        <v>1.0</v>
      </c>
      <c r="F99" s="1" t="s">
        <v>70</v>
      </c>
      <c r="H99" s="1" t="s">
        <v>44</v>
      </c>
      <c r="I99" s="1" t="s">
        <v>45</v>
      </c>
      <c r="J99" s="1" t="s">
        <v>47</v>
      </c>
    </row>
    <row r="100" ht="15.75" customHeight="1">
      <c r="A100" s="1">
        <v>4.5731286E7</v>
      </c>
      <c r="B100" s="2">
        <v>45503.0</v>
      </c>
      <c r="C100" s="1" t="s">
        <v>109</v>
      </c>
      <c r="D100" s="1">
        <v>142500.0</v>
      </c>
      <c r="E100" s="1">
        <v>6.0</v>
      </c>
      <c r="F100" s="1" t="s">
        <v>70</v>
      </c>
      <c r="G100" s="1" t="s">
        <v>200</v>
      </c>
      <c r="H100" s="1" t="s">
        <v>44</v>
      </c>
      <c r="I100" s="1" t="s">
        <v>45</v>
      </c>
      <c r="J100" s="1" t="s">
        <v>47</v>
      </c>
    </row>
    <row r="101" ht="15.75" customHeight="1">
      <c r="A101" s="1" t="s">
        <v>201</v>
      </c>
      <c r="B101" s="2">
        <v>45503.0</v>
      </c>
      <c r="C101" s="1" t="s">
        <v>76</v>
      </c>
      <c r="D101" s="1">
        <v>10000.0</v>
      </c>
      <c r="E101" s="1">
        <v>1.0</v>
      </c>
      <c r="F101" s="1" t="s">
        <v>70</v>
      </c>
      <c r="H101" s="1" t="s">
        <v>44</v>
      </c>
      <c r="I101" s="1" t="s">
        <v>45</v>
      </c>
      <c r="J101" s="1" t="s">
        <v>47</v>
      </c>
    </row>
    <row r="102" ht="15.75" customHeight="1">
      <c r="A102" s="1" t="s">
        <v>202</v>
      </c>
      <c r="B102" s="2">
        <v>45503.0</v>
      </c>
      <c r="C102" s="1" t="s">
        <v>68</v>
      </c>
      <c r="D102" s="1">
        <v>8600.0</v>
      </c>
      <c r="E102" s="1">
        <v>1.0</v>
      </c>
      <c r="F102" s="1" t="s">
        <v>70</v>
      </c>
      <c r="H102" s="1" t="s">
        <v>44</v>
      </c>
      <c r="I102" s="1" t="s">
        <v>45</v>
      </c>
      <c r="J102" s="1" t="s">
        <v>47</v>
      </c>
    </row>
    <row r="103" ht="15.75" customHeight="1">
      <c r="A103" s="1" t="s">
        <v>203</v>
      </c>
      <c r="B103" s="2">
        <v>45504.0</v>
      </c>
      <c r="C103" s="1" t="s">
        <v>73</v>
      </c>
      <c r="D103" s="1">
        <v>20010.0</v>
      </c>
      <c r="E103" s="1">
        <v>3.0</v>
      </c>
      <c r="F103" s="1" t="s">
        <v>70</v>
      </c>
      <c r="H103" s="1" t="s">
        <v>44</v>
      </c>
      <c r="I103" s="1" t="s">
        <v>45</v>
      </c>
      <c r="J103" s="1" t="s">
        <v>47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3</v>
      </c>
      <c r="B1" s="1" t="s">
        <v>6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20</v>
      </c>
      <c r="J1" s="1" t="s">
        <v>22</v>
      </c>
      <c r="K1" s="1" t="s">
        <v>25</v>
      </c>
      <c r="L1" s="1" t="s">
        <v>27</v>
      </c>
      <c r="M1" s="1" t="s">
        <v>29</v>
      </c>
      <c r="N1" s="1" t="s">
        <v>30</v>
      </c>
    </row>
    <row r="2">
      <c r="A2" s="1" t="s">
        <v>32</v>
      </c>
      <c r="B2" s="2">
        <v>45444.0</v>
      </c>
      <c r="C2" s="2">
        <v>45444.0</v>
      </c>
      <c r="D2" s="1" t="s">
        <v>40</v>
      </c>
      <c r="E2" s="1">
        <v>231.0</v>
      </c>
      <c r="F2" s="1">
        <v>1.0</v>
      </c>
      <c r="G2" s="1" t="s">
        <v>42</v>
      </c>
      <c r="I2" s="1" t="s">
        <v>44</v>
      </c>
      <c r="J2" s="1" t="s">
        <v>45</v>
      </c>
      <c r="K2" s="1" t="s">
        <v>47</v>
      </c>
      <c r="L2" s="1">
        <v>231.0</v>
      </c>
      <c r="M2" s="1">
        <v>231.0</v>
      </c>
      <c r="N2" s="1" t="s">
        <v>50</v>
      </c>
    </row>
    <row r="3">
      <c r="A3" s="1" t="s">
        <v>53</v>
      </c>
      <c r="B3" s="2">
        <v>45444.0</v>
      </c>
      <c r="C3" s="2">
        <v>45444.0</v>
      </c>
      <c r="D3" s="1" t="s">
        <v>58</v>
      </c>
      <c r="E3" s="3">
        <v>1500.0</v>
      </c>
      <c r="F3" s="1">
        <v>1.0</v>
      </c>
      <c r="G3" s="1" t="s">
        <v>42</v>
      </c>
      <c r="I3" s="1" t="s">
        <v>66</v>
      </c>
      <c r="J3" s="1" t="s">
        <v>45</v>
      </c>
      <c r="K3" s="1" t="s">
        <v>47</v>
      </c>
      <c r="L3" s="1">
        <v>5175.0</v>
      </c>
      <c r="M3" s="1">
        <v>5175.0</v>
      </c>
      <c r="N3" s="1" t="s">
        <v>50</v>
      </c>
    </row>
    <row r="4">
      <c r="A4" s="1" t="s">
        <v>67</v>
      </c>
      <c r="B4" s="2">
        <v>45451.0</v>
      </c>
      <c r="C4" s="2">
        <v>45451.0</v>
      </c>
      <c r="D4" s="1" t="s">
        <v>68</v>
      </c>
      <c r="E4" s="1">
        <v>6000.0</v>
      </c>
      <c r="F4" s="1">
        <v>1.0</v>
      </c>
      <c r="G4" s="1" t="s">
        <v>70</v>
      </c>
      <c r="I4" s="1" t="s">
        <v>44</v>
      </c>
      <c r="J4" s="1" t="s">
        <v>45</v>
      </c>
      <c r="K4" s="1" t="s">
        <v>47</v>
      </c>
      <c r="L4" s="1">
        <v>4.37956204379562</v>
      </c>
      <c r="M4" s="1">
        <v>4.37956204379562</v>
      </c>
      <c r="N4" s="1" t="s">
        <v>50</v>
      </c>
    </row>
    <row r="5">
      <c r="A5" s="1" t="s">
        <v>72</v>
      </c>
      <c r="B5" s="2">
        <v>45451.0</v>
      </c>
      <c r="C5" s="2">
        <v>45451.0</v>
      </c>
      <c r="D5" s="1" t="s">
        <v>73</v>
      </c>
      <c r="E5" s="1">
        <v>42000.0</v>
      </c>
      <c r="F5" s="1">
        <v>1.0</v>
      </c>
      <c r="G5" s="1" t="s">
        <v>70</v>
      </c>
      <c r="I5" s="1" t="s">
        <v>44</v>
      </c>
      <c r="J5" s="1" t="s">
        <v>45</v>
      </c>
      <c r="K5" s="1" t="s">
        <v>47</v>
      </c>
      <c r="L5" s="1">
        <v>30.656934306569344</v>
      </c>
      <c r="M5" s="1">
        <v>30.656934306569344</v>
      </c>
      <c r="N5" s="1" t="s">
        <v>50</v>
      </c>
    </row>
    <row r="6">
      <c r="A6" s="1" t="s">
        <v>74</v>
      </c>
      <c r="B6" s="2">
        <v>45452.0</v>
      </c>
      <c r="C6" s="2">
        <v>45452.0</v>
      </c>
      <c r="D6" s="1" t="s">
        <v>68</v>
      </c>
      <c r="E6" s="1">
        <v>62000.0</v>
      </c>
      <c r="F6" s="1">
        <v>1.0</v>
      </c>
      <c r="G6" s="1" t="s">
        <v>70</v>
      </c>
      <c r="I6" s="1" t="s">
        <v>44</v>
      </c>
      <c r="J6" s="1" t="s">
        <v>45</v>
      </c>
      <c r="K6" s="1" t="s">
        <v>47</v>
      </c>
      <c r="L6" s="1">
        <v>45.25547445255474</v>
      </c>
      <c r="M6" s="1">
        <v>45.25547445255474</v>
      </c>
      <c r="N6" s="1" t="s">
        <v>50</v>
      </c>
    </row>
    <row r="7">
      <c r="A7" s="1" t="s">
        <v>75</v>
      </c>
      <c r="B7" s="2">
        <v>45452.0</v>
      </c>
      <c r="C7" s="2">
        <v>45452.0</v>
      </c>
      <c r="D7" s="1" t="s">
        <v>76</v>
      </c>
      <c r="E7" s="1">
        <v>14000.0</v>
      </c>
      <c r="F7" s="1">
        <v>1.0</v>
      </c>
      <c r="G7" s="1" t="s">
        <v>70</v>
      </c>
      <c r="I7" s="1" t="s">
        <v>44</v>
      </c>
      <c r="J7" s="1" t="s">
        <v>45</v>
      </c>
      <c r="K7" s="1" t="s">
        <v>47</v>
      </c>
      <c r="L7" s="1">
        <v>10.218978102189782</v>
      </c>
      <c r="M7" s="1">
        <v>10.218978102189782</v>
      </c>
      <c r="N7" s="1" t="s">
        <v>50</v>
      </c>
    </row>
    <row r="8">
      <c r="A8" s="1" t="s">
        <v>77</v>
      </c>
      <c r="B8" s="2">
        <v>45453.0</v>
      </c>
      <c r="C8" s="2">
        <v>45453.0</v>
      </c>
      <c r="D8" s="1" t="s">
        <v>76</v>
      </c>
      <c r="E8" s="1">
        <v>9500.0</v>
      </c>
      <c r="F8" s="1">
        <v>1.0</v>
      </c>
      <c r="G8" s="1" t="s">
        <v>70</v>
      </c>
      <c r="I8" s="1" t="s">
        <v>44</v>
      </c>
      <c r="J8" s="1" t="s">
        <v>45</v>
      </c>
      <c r="K8" s="1" t="s">
        <v>47</v>
      </c>
      <c r="L8" s="1">
        <v>6.934306569343065</v>
      </c>
      <c r="M8" s="1">
        <v>6.934306569343065</v>
      </c>
      <c r="N8" s="1" t="s">
        <v>50</v>
      </c>
    </row>
    <row r="9">
      <c r="A9" s="1" t="s">
        <v>78</v>
      </c>
      <c r="B9" s="2">
        <v>45454.0</v>
      </c>
      <c r="C9" s="2">
        <v>45454.0</v>
      </c>
      <c r="D9" s="1" t="s">
        <v>76</v>
      </c>
      <c r="E9" s="1">
        <v>12000.0</v>
      </c>
      <c r="F9" s="1">
        <v>1.0</v>
      </c>
      <c r="G9" s="1" t="s">
        <v>70</v>
      </c>
      <c r="I9" s="1" t="s">
        <v>44</v>
      </c>
      <c r="J9" s="1" t="s">
        <v>45</v>
      </c>
      <c r="K9" s="1" t="s">
        <v>47</v>
      </c>
      <c r="L9" s="1">
        <v>8.75912408759124</v>
      </c>
      <c r="M9" s="1">
        <v>8.75912408759124</v>
      </c>
      <c r="N9" s="1" t="s">
        <v>50</v>
      </c>
    </row>
    <row r="10">
      <c r="A10" s="1" t="s">
        <v>79</v>
      </c>
      <c r="B10" s="2">
        <v>45454.0</v>
      </c>
      <c r="C10" s="2">
        <v>45454.0</v>
      </c>
      <c r="D10" s="1" t="s">
        <v>73</v>
      </c>
      <c r="E10" s="1">
        <v>36000.0</v>
      </c>
      <c r="F10" s="1">
        <v>1.0</v>
      </c>
      <c r="G10" s="1" t="s">
        <v>70</v>
      </c>
      <c r="I10" s="1" t="s">
        <v>44</v>
      </c>
      <c r="J10" s="1" t="s">
        <v>45</v>
      </c>
      <c r="K10" s="1" t="s">
        <v>47</v>
      </c>
      <c r="L10" s="1">
        <v>26.277372262773724</v>
      </c>
      <c r="M10" s="1">
        <v>26.277372262773724</v>
      </c>
      <c r="N10" s="1" t="s">
        <v>50</v>
      </c>
    </row>
    <row r="11">
      <c r="A11" s="1" t="s">
        <v>80</v>
      </c>
      <c r="B11" s="2">
        <v>45455.0</v>
      </c>
      <c r="C11" s="2">
        <v>45455.0</v>
      </c>
      <c r="D11" s="1" t="s">
        <v>68</v>
      </c>
      <c r="E11" s="1">
        <v>2000.0</v>
      </c>
      <c r="F11" s="1">
        <v>1.0</v>
      </c>
      <c r="G11" s="1" t="s">
        <v>70</v>
      </c>
      <c r="I11" s="1" t="s">
        <v>44</v>
      </c>
      <c r="J11" s="1" t="s">
        <v>45</v>
      </c>
      <c r="K11" s="1" t="s">
        <v>47</v>
      </c>
      <c r="L11" s="1">
        <v>1.4598540145985401</v>
      </c>
      <c r="M11" s="1">
        <v>1.4598540145985401</v>
      </c>
      <c r="N11" s="1" t="s">
        <v>50</v>
      </c>
    </row>
    <row r="12">
      <c r="A12" s="1" t="s">
        <v>81</v>
      </c>
      <c r="B12" s="2">
        <v>45456.0</v>
      </c>
      <c r="C12" s="2">
        <v>45456.0</v>
      </c>
      <c r="D12" s="1" t="s">
        <v>82</v>
      </c>
      <c r="E12" s="1">
        <v>15330.0</v>
      </c>
      <c r="F12" s="1">
        <v>3.0</v>
      </c>
      <c r="G12" s="1" t="s">
        <v>70</v>
      </c>
      <c r="H12" s="1" t="s">
        <v>83</v>
      </c>
      <c r="I12" s="1" t="s">
        <v>44</v>
      </c>
      <c r="J12" s="1" t="s">
        <v>84</v>
      </c>
      <c r="K12" s="1" t="s">
        <v>47</v>
      </c>
      <c r="L12" s="1">
        <v>11.18978102189781</v>
      </c>
      <c r="M12" s="1">
        <v>11.18978102189781</v>
      </c>
      <c r="N12" s="1" t="s">
        <v>50</v>
      </c>
    </row>
    <row r="13">
      <c r="A13" s="1" t="s">
        <v>81</v>
      </c>
      <c r="B13" s="2">
        <v>45486.0</v>
      </c>
      <c r="C13" s="2">
        <v>45456.0</v>
      </c>
      <c r="D13" s="1" t="s">
        <v>82</v>
      </c>
      <c r="E13" s="1">
        <v>15330.0</v>
      </c>
      <c r="F13" s="1">
        <v>3.0</v>
      </c>
      <c r="G13" s="1" t="s">
        <v>70</v>
      </c>
      <c r="H13" s="1" t="s">
        <v>83</v>
      </c>
      <c r="I13" s="1" t="s">
        <v>44</v>
      </c>
      <c r="J13" s="1" t="s">
        <v>84</v>
      </c>
      <c r="K13" s="1" t="s">
        <v>47</v>
      </c>
      <c r="L13" s="1">
        <v>11.792307692307693</v>
      </c>
      <c r="M13" s="1">
        <v>11.18978102189781</v>
      </c>
      <c r="N13" s="1" t="s">
        <v>89</v>
      </c>
    </row>
    <row r="14">
      <c r="A14" s="1" t="s">
        <v>81</v>
      </c>
      <c r="B14" s="2">
        <v>45517.0</v>
      </c>
      <c r="C14" s="2">
        <v>45456.0</v>
      </c>
      <c r="D14" s="1" t="s">
        <v>82</v>
      </c>
      <c r="E14" s="1">
        <v>15330.0</v>
      </c>
      <c r="F14" s="1">
        <v>3.0</v>
      </c>
      <c r="G14" s="1" t="s">
        <v>70</v>
      </c>
      <c r="H14" s="1" t="s">
        <v>83</v>
      </c>
      <c r="I14" s="1" t="s">
        <v>44</v>
      </c>
      <c r="J14" s="1" t="s">
        <v>84</v>
      </c>
      <c r="K14" s="1" t="s">
        <v>47</v>
      </c>
      <c r="L14" s="1">
        <v>12.412955465587045</v>
      </c>
      <c r="M14" s="1">
        <v>11.18978102189781</v>
      </c>
      <c r="N14" s="1" t="s">
        <v>91</v>
      </c>
    </row>
    <row r="15">
      <c r="A15" s="1" t="s">
        <v>85</v>
      </c>
      <c r="B15" s="2">
        <v>45456.0</v>
      </c>
      <c r="C15" s="2">
        <v>45456.0</v>
      </c>
      <c r="D15" s="1" t="s">
        <v>76</v>
      </c>
      <c r="E15" s="1">
        <v>10000.0</v>
      </c>
      <c r="F15" s="1">
        <v>1.0</v>
      </c>
      <c r="G15" s="1" t="s">
        <v>70</v>
      </c>
      <c r="I15" s="1" t="s">
        <v>44</v>
      </c>
      <c r="J15" s="1" t="s">
        <v>45</v>
      </c>
      <c r="K15" s="1" t="s">
        <v>47</v>
      </c>
      <c r="L15" s="1">
        <v>7.299270072992701</v>
      </c>
      <c r="M15" s="1">
        <v>7.299270072992701</v>
      </c>
      <c r="N15" s="1" t="s">
        <v>50</v>
      </c>
    </row>
    <row r="16">
      <c r="A16" s="1" t="s">
        <v>86</v>
      </c>
      <c r="B16" s="2">
        <v>45457.0</v>
      </c>
      <c r="C16" s="2">
        <v>45457.0</v>
      </c>
      <c r="D16" s="1" t="s">
        <v>76</v>
      </c>
      <c r="E16" s="1">
        <v>26000.0</v>
      </c>
      <c r="F16" s="1">
        <v>1.0</v>
      </c>
      <c r="G16" s="1" t="s">
        <v>70</v>
      </c>
      <c r="I16" s="1" t="s">
        <v>44</v>
      </c>
      <c r="J16" s="1" t="s">
        <v>45</v>
      </c>
      <c r="K16" s="1" t="s">
        <v>47</v>
      </c>
      <c r="L16" s="1">
        <v>18.978102189781023</v>
      </c>
      <c r="M16" s="1">
        <v>18.978102189781023</v>
      </c>
      <c r="N16" s="1" t="s">
        <v>50</v>
      </c>
    </row>
    <row r="17">
      <c r="A17" s="1" t="s">
        <v>87</v>
      </c>
      <c r="B17" s="2">
        <v>45458.0</v>
      </c>
      <c r="C17" s="2">
        <v>45458.0</v>
      </c>
      <c r="D17" s="1" t="s">
        <v>76</v>
      </c>
      <c r="E17" s="1">
        <v>36000.0</v>
      </c>
      <c r="F17" s="1">
        <v>1.0</v>
      </c>
      <c r="G17" s="1" t="s">
        <v>70</v>
      </c>
      <c r="I17" s="1" t="s">
        <v>44</v>
      </c>
      <c r="J17" s="1" t="s">
        <v>45</v>
      </c>
      <c r="K17" s="1" t="s">
        <v>47</v>
      </c>
      <c r="L17" s="1">
        <v>26.277372262773724</v>
      </c>
      <c r="M17" s="1">
        <v>26.277372262773724</v>
      </c>
      <c r="N17" s="1" t="s">
        <v>50</v>
      </c>
    </row>
    <row r="18">
      <c r="A18" s="1" t="s">
        <v>88</v>
      </c>
      <c r="B18" s="2">
        <v>45458.0</v>
      </c>
      <c r="C18" s="2">
        <v>45458.0</v>
      </c>
      <c r="D18" s="1" t="s">
        <v>68</v>
      </c>
      <c r="E18" s="1">
        <v>8000.0</v>
      </c>
      <c r="F18" s="1">
        <v>1.0</v>
      </c>
      <c r="G18" s="1" t="s">
        <v>70</v>
      </c>
      <c r="I18" s="1" t="s">
        <v>44</v>
      </c>
      <c r="J18" s="1" t="s">
        <v>45</v>
      </c>
      <c r="K18" s="1" t="s">
        <v>47</v>
      </c>
      <c r="L18" s="1">
        <v>5.839416058394161</v>
      </c>
      <c r="M18" s="1">
        <v>5.839416058394161</v>
      </c>
      <c r="N18" s="1" t="s">
        <v>50</v>
      </c>
    </row>
    <row r="19">
      <c r="A19" s="1" t="s">
        <v>90</v>
      </c>
      <c r="B19" s="2">
        <v>45458.0</v>
      </c>
      <c r="C19" s="2">
        <v>45458.0</v>
      </c>
      <c r="D19" s="1" t="s">
        <v>82</v>
      </c>
      <c r="E19" s="1">
        <v>4000.0</v>
      </c>
      <c r="F19" s="1">
        <v>1.0</v>
      </c>
      <c r="G19" s="1" t="s">
        <v>70</v>
      </c>
      <c r="I19" s="1" t="s">
        <v>44</v>
      </c>
      <c r="J19" s="1" t="s">
        <v>84</v>
      </c>
      <c r="K19" s="1" t="s">
        <v>47</v>
      </c>
      <c r="L19" s="1">
        <v>2.9197080291970803</v>
      </c>
      <c r="M19" s="1">
        <v>2.9197080291970803</v>
      </c>
      <c r="N19" s="1" t="s">
        <v>50</v>
      </c>
    </row>
    <row r="20">
      <c r="A20" s="1" t="s">
        <v>92</v>
      </c>
      <c r="B20" s="2">
        <v>45459.0</v>
      </c>
      <c r="C20" s="2">
        <v>45459.0</v>
      </c>
      <c r="D20" s="1" t="s">
        <v>82</v>
      </c>
      <c r="E20" s="1">
        <v>13.0</v>
      </c>
      <c r="F20" s="1">
        <v>1.0</v>
      </c>
      <c r="G20" s="1" t="s">
        <v>42</v>
      </c>
      <c r="H20" s="1" t="s">
        <v>93</v>
      </c>
      <c r="I20" s="1" t="s">
        <v>44</v>
      </c>
      <c r="J20" s="1" t="s">
        <v>84</v>
      </c>
      <c r="K20" s="1" t="s">
        <v>47</v>
      </c>
      <c r="L20" s="1">
        <v>13.0</v>
      </c>
      <c r="M20" s="1">
        <v>13.0</v>
      </c>
      <c r="N20" s="1" t="s">
        <v>50</v>
      </c>
    </row>
    <row r="21" ht="15.75" customHeight="1">
      <c r="A21" s="1" t="s">
        <v>94</v>
      </c>
      <c r="B21" s="2">
        <v>45459.0</v>
      </c>
      <c r="C21" s="2">
        <v>45459.0</v>
      </c>
      <c r="D21" s="1" t="s">
        <v>73</v>
      </c>
      <c r="E21" s="1">
        <v>19000.0</v>
      </c>
      <c r="F21" s="1">
        <v>1.0</v>
      </c>
      <c r="G21" s="1" t="s">
        <v>70</v>
      </c>
      <c r="H21" s="1" t="s">
        <v>95</v>
      </c>
      <c r="I21" s="1" t="s">
        <v>44</v>
      </c>
      <c r="J21" s="1" t="s">
        <v>45</v>
      </c>
      <c r="K21" s="1" t="s">
        <v>47</v>
      </c>
      <c r="L21" s="1">
        <v>13.86861313868613</v>
      </c>
      <c r="M21" s="1">
        <v>13.86861313868613</v>
      </c>
      <c r="N21" s="1" t="s">
        <v>50</v>
      </c>
    </row>
    <row r="22" ht="15.75" customHeight="1">
      <c r="A22" s="1" t="s">
        <v>96</v>
      </c>
      <c r="B22" s="2">
        <v>45459.0</v>
      </c>
      <c r="C22" s="2">
        <v>45459.0</v>
      </c>
      <c r="D22" s="1" t="s">
        <v>68</v>
      </c>
      <c r="E22" s="1">
        <v>4000.0</v>
      </c>
      <c r="F22" s="1">
        <v>3.0</v>
      </c>
      <c r="G22" s="1" t="s">
        <v>70</v>
      </c>
      <c r="I22" s="1" t="s">
        <v>44</v>
      </c>
      <c r="J22" s="1" t="s">
        <v>45</v>
      </c>
      <c r="K22" s="1" t="s">
        <v>47</v>
      </c>
      <c r="L22" s="1">
        <v>2.9197080291970803</v>
      </c>
      <c r="M22" s="1">
        <v>2.9197080291970803</v>
      </c>
      <c r="N22" s="1" t="s">
        <v>50</v>
      </c>
    </row>
    <row r="23" ht="15.75" customHeight="1">
      <c r="A23" s="1" t="s">
        <v>96</v>
      </c>
      <c r="B23" s="2">
        <v>45489.0</v>
      </c>
      <c r="C23" s="2">
        <v>45459.0</v>
      </c>
      <c r="D23" s="1" t="s">
        <v>68</v>
      </c>
      <c r="E23" s="1">
        <v>4000.0</v>
      </c>
      <c r="F23" s="1">
        <v>3.0</v>
      </c>
      <c r="G23" s="1" t="s">
        <v>70</v>
      </c>
      <c r="I23" s="1" t="s">
        <v>44</v>
      </c>
      <c r="J23" s="1" t="s">
        <v>45</v>
      </c>
      <c r="K23" s="1" t="s">
        <v>47</v>
      </c>
      <c r="L23" s="1">
        <v>3.076923076923077</v>
      </c>
      <c r="M23" s="1">
        <v>2.9197080291970803</v>
      </c>
      <c r="N23" s="1" t="s">
        <v>89</v>
      </c>
    </row>
    <row r="24" ht="15.75" customHeight="1">
      <c r="A24" s="1" t="s">
        <v>96</v>
      </c>
      <c r="B24" s="2">
        <v>45520.0</v>
      </c>
      <c r="C24" s="2">
        <v>45459.0</v>
      </c>
      <c r="D24" s="1" t="s">
        <v>68</v>
      </c>
      <c r="E24" s="1">
        <v>4000.0</v>
      </c>
      <c r="F24" s="1">
        <v>3.0</v>
      </c>
      <c r="G24" s="1" t="s">
        <v>70</v>
      </c>
      <c r="I24" s="1" t="s">
        <v>44</v>
      </c>
      <c r="J24" s="1" t="s">
        <v>45</v>
      </c>
      <c r="K24" s="1" t="s">
        <v>47</v>
      </c>
      <c r="L24" s="1">
        <v>3.2388663967611335</v>
      </c>
      <c r="M24" s="1">
        <v>2.9197080291970803</v>
      </c>
      <c r="N24" s="1" t="s">
        <v>91</v>
      </c>
    </row>
    <row r="25" ht="15.75" customHeight="1">
      <c r="A25" s="1" t="s">
        <v>97</v>
      </c>
      <c r="B25" s="2">
        <v>45460.0</v>
      </c>
      <c r="C25" s="2">
        <v>45460.0</v>
      </c>
      <c r="D25" s="1" t="s">
        <v>68</v>
      </c>
      <c r="E25" s="1">
        <v>5330.0</v>
      </c>
      <c r="F25" s="1">
        <v>3.0</v>
      </c>
      <c r="G25" s="1" t="s">
        <v>70</v>
      </c>
      <c r="H25" s="1" t="s">
        <v>98</v>
      </c>
      <c r="I25" s="1" t="s">
        <v>44</v>
      </c>
      <c r="J25" s="1" t="s">
        <v>45</v>
      </c>
      <c r="K25" s="1" t="s">
        <v>47</v>
      </c>
      <c r="L25" s="1">
        <v>3.8905109489051095</v>
      </c>
      <c r="M25" s="1">
        <v>3.8905109489051095</v>
      </c>
      <c r="N25" s="1" t="s">
        <v>50</v>
      </c>
    </row>
    <row r="26" ht="15.75" customHeight="1">
      <c r="A26" s="1" t="s">
        <v>97</v>
      </c>
      <c r="B26" s="2">
        <v>45490.0</v>
      </c>
      <c r="C26" s="2">
        <v>45460.0</v>
      </c>
      <c r="D26" s="1" t="s">
        <v>68</v>
      </c>
      <c r="E26" s="1">
        <v>5330.0</v>
      </c>
      <c r="F26" s="1">
        <v>3.0</v>
      </c>
      <c r="G26" s="1" t="s">
        <v>70</v>
      </c>
      <c r="H26" s="1" t="s">
        <v>98</v>
      </c>
      <c r="I26" s="1" t="s">
        <v>44</v>
      </c>
      <c r="J26" s="1" t="s">
        <v>45</v>
      </c>
      <c r="K26" s="1" t="s">
        <v>47</v>
      </c>
      <c r="L26" s="1">
        <v>4.1</v>
      </c>
      <c r="M26" s="1">
        <v>3.8905109489051095</v>
      </c>
      <c r="N26" s="1" t="s">
        <v>89</v>
      </c>
    </row>
    <row r="27" ht="15.75" customHeight="1">
      <c r="A27" s="1" t="s">
        <v>97</v>
      </c>
      <c r="B27" s="2">
        <v>45521.0</v>
      </c>
      <c r="C27" s="2">
        <v>45460.0</v>
      </c>
      <c r="D27" s="1" t="s">
        <v>68</v>
      </c>
      <c r="E27" s="1">
        <v>5330.0</v>
      </c>
      <c r="F27" s="1">
        <v>3.0</v>
      </c>
      <c r="G27" s="1" t="s">
        <v>70</v>
      </c>
      <c r="H27" s="1" t="s">
        <v>98</v>
      </c>
      <c r="I27" s="1" t="s">
        <v>44</v>
      </c>
      <c r="J27" s="1" t="s">
        <v>45</v>
      </c>
      <c r="K27" s="1" t="s">
        <v>47</v>
      </c>
      <c r="L27" s="1">
        <v>4.315789473684211</v>
      </c>
      <c r="M27" s="1">
        <v>3.8905109489051095</v>
      </c>
      <c r="N27" s="1" t="s">
        <v>91</v>
      </c>
    </row>
    <row r="28" ht="15.75" customHeight="1">
      <c r="A28" s="1" t="s">
        <v>99</v>
      </c>
      <c r="B28" s="2">
        <v>45460.0</v>
      </c>
      <c r="C28" s="2">
        <v>45460.0</v>
      </c>
      <c r="D28" s="1" t="s">
        <v>76</v>
      </c>
      <c r="E28" s="1">
        <v>22000.0</v>
      </c>
      <c r="F28" s="1">
        <v>1.0</v>
      </c>
      <c r="G28" s="1" t="s">
        <v>70</v>
      </c>
      <c r="I28" s="1" t="s">
        <v>44</v>
      </c>
      <c r="J28" s="1" t="s">
        <v>45</v>
      </c>
      <c r="K28" s="1" t="s">
        <v>47</v>
      </c>
      <c r="L28" s="1">
        <v>16.05839416058394</v>
      </c>
      <c r="M28" s="1">
        <v>16.05839416058394</v>
      </c>
      <c r="N28" s="1" t="s">
        <v>50</v>
      </c>
    </row>
    <row r="29" ht="15.75" customHeight="1">
      <c r="A29" s="1" t="s">
        <v>100</v>
      </c>
      <c r="B29" s="2">
        <v>45460.0</v>
      </c>
      <c r="C29" s="2">
        <v>45460.0</v>
      </c>
      <c r="D29" s="1" t="s">
        <v>68</v>
      </c>
      <c r="E29" s="1">
        <v>15000.0</v>
      </c>
      <c r="F29" s="1">
        <v>1.0</v>
      </c>
      <c r="G29" s="1" t="s">
        <v>70</v>
      </c>
      <c r="I29" s="1" t="s">
        <v>44</v>
      </c>
      <c r="J29" s="1" t="s">
        <v>45</v>
      </c>
      <c r="K29" s="1" t="s">
        <v>47</v>
      </c>
      <c r="L29" s="1">
        <v>10.94890510948905</v>
      </c>
      <c r="M29" s="1">
        <v>10.94890510948905</v>
      </c>
      <c r="N29" s="1" t="s">
        <v>50</v>
      </c>
    </row>
    <row r="30" ht="15.75" customHeight="1">
      <c r="A30" s="1" t="s">
        <v>101</v>
      </c>
      <c r="B30" s="2">
        <v>45461.0</v>
      </c>
      <c r="C30" s="2">
        <v>45461.0</v>
      </c>
      <c r="D30" s="1" t="s">
        <v>76</v>
      </c>
      <c r="E30" s="1">
        <v>10000.0</v>
      </c>
      <c r="F30" s="1">
        <v>1.0</v>
      </c>
      <c r="G30" s="1" t="s">
        <v>70</v>
      </c>
      <c r="I30" s="1" t="s">
        <v>44</v>
      </c>
      <c r="J30" s="1" t="s">
        <v>45</v>
      </c>
      <c r="K30" s="1" t="s">
        <v>47</v>
      </c>
      <c r="L30" s="1">
        <v>7.299270072992701</v>
      </c>
      <c r="M30" s="1">
        <v>7.299270072992701</v>
      </c>
      <c r="N30" s="1" t="s">
        <v>50</v>
      </c>
    </row>
    <row r="31" ht="15.75" customHeight="1">
      <c r="A31" s="1" t="s">
        <v>102</v>
      </c>
      <c r="B31" s="2">
        <v>45462.0</v>
      </c>
      <c r="C31" s="2">
        <v>45462.0</v>
      </c>
      <c r="D31" s="1" t="s">
        <v>68</v>
      </c>
      <c r="E31" s="1">
        <v>10670.0</v>
      </c>
      <c r="F31" s="1">
        <v>3.0</v>
      </c>
      <c r="G31" s="1" t="s">
        <v>70</v>
      </c>
      <c r="I31" s="1" t="s">
        <v>44</v>
      </c>
      <c r="J31" s="1" t="s">
        <v>45</v>
      </c>
      <c r="K31" s="1" t="s">
        <v>47</v>
      </c>
      <c r="L31" s="1">
        <v>7.788321167883212</v>
      </c>
      <c r="M31" s="1">
        <v>7.788321167883212</v>
      </c>
      <c r="N31" s="1" t="s">
        <v>50</v>
      </c>
    </row>
    <row r="32" ht="15.75" customHeight="1">
      <c r="A32" s="1" t="s">
        <v>102</v>
      </c>
      <c r="B32" s="2">
        <v>45492.0</v>
      </c>
      <c r="C32" s="2">
        <v>45462.0</v>
      </c>
      <c r="D32" s="1" t="s">
        <v>68</v>
      </c>
      <c r="E32" s="1">
        <v>10670.0</v>
      </c>
      <c r="F32" s="1">
        <v>3.0</v>
      </c>
      <c r="G32" s="1" t="s">
        <v>70</v>
      </c>
      <c r="I32" s="1" t="s">
        <v>44</v>
      </c>
      <c r="J32" s="1" t="s">
        <v>45</v>
      </c>
      <c r="K32" s="1" t="s">
        <v>47</v>
      </c>
      <c r="L32" s="1">
        <v>8.207692307692307</v>
      </c>
      <c r="M32" s="1">
        <v>7.788321167883212</v>
      </c>
      <c r="N32" s="1" t="s">
        <v>89</v>
      </c>
    </row>
    <row r="33" ht="15.75" customHeight="1">
      <c r="A33" s="1" t="s">
        <v>102</v>
      </c>
      <c r="B33" s="2">
        <v>45523.0</v>
      </c>
      <c r="C33" s="2">
        <v>45462.0</v>
      </c>
      <c r="D33" s="1" t="s">
        <v>68</v>
      </c>
      <c r="E33" s="1">
        <v>10670.0</v>
      </c>
      <c r="F33" s="1">
        <v>3.0</v>
      </c>
      <c r="G33" s="1" t="s">
        <v>70</v>
      </c>
      <c r="I33" s="1" t="s">
        <v>44</v>
      </c>
      <c r="J33" s="1" t="s">
        <v>45</v>
      </c>
      <c r="K33" s="1" t="s">
        <v>47</v>
      </c>
      <c r="L33" s="1">
        <v>8.639676113360323</v>
      </c>
      <c r="M33" s="1">
        <v>7.788321167883212</v>
      </c>
      <c r="N33" s="1" t="s">
        <v>91</v>
      </c>
    </row>
    <row r="34" ht="15.75" customHeight="1">
      <c r="A34" s="1" t="s">
        <v>103</v>
      </c>
      <c r="B34" s="2">
        <v>45463.0</v>
      </c>
      <c r="C34" s="2">
        <v>45463.0</v>
      </c>
      <c r="D34" s="1" t="s">
        <v>68</v>
      </c>
      <c r="E34" s="1">
        <v>6000.0</v>
      </c>
      <c r="F34" s="1">
        <v>3.0</v>
      </c>
      <c r="G34" s="1" t="s">
        <v>70</v>
      </c>
      <c r="H34" s="1" t="s">
        <v>104</v>
      </c>
      <c r="I34" s="1" t="s">
        <v>44</v>
      </c>
      <c r="J34" s="1" t="s">
        <v>45</v>
      </c>
      <c r="K34" s="1" t="s">
        <v>47</v>
      </c>
      <c r="L34" s="1">
        <v>4.37956204379562</v>
      </c>
      <c r="M34" s="1">
        <v>4.37956204379562</v>
      </c>
      <c r="N34" s="1" t="s">
        <v>50</v>
      </c>
    </row>
    <row r="35" ht="15.75" customHeight="1">
      <c r="A35" s="1" t="s">
        <v>103</v>
      </c>
      <c r="B35" s="2">
        <v>45493.0</v>
      </c>
      <c r="C35" s="2">
        <v>45463.0</v>
      </c>
      <c r="D35" s="1" t="s">
        <v>68</v>
      </c>
      <c r="E35" s="1">
        <v>6000.0</v>
      </c>
      <c r="F35" s="1">
        <v>3.0</v>
      </c>
      <c r="G35" s="1" t="s">
        <v>70</v>
      </c>
      <c r="H35" s="1" t="s">
        <v>104</v>
      </c>
      <c r="I35" s="1" t="s">
        <v>44</v>
      </c>
      <c r="J35" s="1" t="s">
        <v>45</v>
      </c>
      <c r="K35" s="1" t="s">
        <v>47</v>
      </c>
      <c r="L35" s="1">
        <v>4.615384615384615</v>
      </c>
      <c r="M35" s="1">
        <v>4.37956204379562</v>
      </c>
      <c r="N35" s="1" t="s">
        <v>89</v>
      </c>
    </row>
    <row r="36" ht="15.75" customHeight="1">
      <c r="A36" s="1" t="s">
        <v>103</v>
      </c>
      <c r="B36" s="2">
        <v>45524.0</v>
      </c>
      <c r="C36" s="2">
        <v>45463.0</v>
      </c>
      <c r="D36" s="1" t="s">
        <v>68</v>
      </c>
      <c r="E36" s="1">
        <v>6000.0</v>
      </c>
      <c r="F36" s="1">
        <v>3.0</v>
      </c>
      <c r="G36" s="1" t="s">
        <v>70</v>
      </c>
      <c r="H36" s="1" t="s">
        <v>104</v>
      </c>
      <c r="I36" s="1" t="s">
        <v>44</v>
      </c>
      <c r="J36" s="1" t="s">
        <v>45</v>
      </c>
      <c r="K36" s="1" t="s">
        <v>47</v>
      </c>
      <c r="L36" s="1">
        <v>4.8582995951417</v>
      </c>
      <c r="M36" s="1">
        <v>4.37956204379562</v>
      </c>
      <c r="N36" s="1" t="s">
        <v>91</v>
      </c>
    </row>
    <row r="37" ht="15.75" customHeight="1">
      <c r="A37" s="1" t="s">
        <v>105</v>
      </c>
      <c r="B37" s="2">
        <v>45463.0</v>
      </c>
      <c r="C37" s="2">
        <v>45463.0</v>
      </c>
      <c r="D37" s="1" t="s">
        <v>82</v>
      </c>
      <c r="E37" s="1">
        <v>16665.0</v>
      </c>
      <c r="F37" s="1">
        <v>6.0</v>
      </c>
      <c r="G37" s="1" t="s">
        <v>70</v>
      </c>
      <c r="H37" s="1" t="s">
        <v>106</v>
      </c>
      <c r="I37" s="1" t="s">
        <v>44</v>
      </c>
      <c r="J37" s="1" t="s">
        <v>84</v>
      </c>
      <c r="K37" s="1" t="s">
        <v>47</v>
      </c>
      <c r="L37" s="1">
        <v>12.164233576642335</v>
      </c>
      <c r="M37" s="1">
        <v>12.164233576642335</v>
      </c>
      <c r="N37" s="1" t="s">
        <v>50</v>
      </c>
    </row>
    <row r="38" ht="15.75" customHeight="1">
      <c r="A38" s="1" t="s">
        <v>105</v>
      </c>
      <c r="B38" s="2">
        <v>45493.0</v>
      </c>
      <c r="C38" s="2">
        <v>45463.0</v>
      </c>
      <c r="D38" s="1" t="s">
        <v>82</v>
      </c>
      <c r="E38" s="1">
        <v>16665.0</v>
      </c>
      <c r="F38" s="1">
        <v>6.0</v>
      </c>
      <c r="G38" s="1" t="s">
        <v>70</v>
      </c>
      <c r="H38" s="1" t="s">
        <v>106</v>
      </c>
      <c r="I38" s="1" t="s">
        <v>44</v>
      </c>
      <c r="J38" s="1" t="s">
        <v>84</v>
      </c>
      <c r="K38" s="1" t="s">
        <v>47</v>
      </c>
      <c r="L38" s="1">
        <v>12.819230769230769</v>
      </c>
      <c r="M38" s="1">
        <v>12.164233576642335</v>
      </c>
      <c r="N38" s="1" t="s">
        <v>89</v>
      </c>
    </row>
    <row r="39" ht="15.75" customHeight="1">
      <c r="A39" s="1" t="s">
        <v>105</v>
      </c>
      <c r="B39" s="2">
        <v>45524.0</v>
      </c>
      <c r="C39" s="2">
        <v>45463.0</v>
      </c>
      <c r="D39" s="1" t="s">
        <v>82</v>
      </c>
      <c r="E39" s="1">
        <v>16665.0</v>
      </c>
      <c r="F39" s="1">
        <v>6.0</v>
      </c>
      <c r="G39" s="1" t="s">
        <v>70</v>
      </c>
      <c r="H39" s="1" t="s">
        <v>106</v>
      </c>
      <c r="I39" s="1" t="s">
        <v>44</v>
      </c>
      <c r="J39" s="1" t="s">
        <v>84</v>
      </c>
      <c r="K39" s="1" t="s">
        <v>47</v>
      </c>
      <c r="L39" s="1">
        <v>13.493927125506072</v>
      </c>
      <c r="M39" s="1">
        <v>12.164233576642335</v>
      </c>
      <c r="N39" s="1" t="s">
        <v>91</v>
      </c>
    </row>
    <row r="40" ht="15.75" customHeight="1">
      <c r="A40" s="1" t="s">
        <v>105</v>
      </c>
      <c r="B40" s="2">
        <v>45555.0</v>
      </c>
      <c r="C40" s="2">
        <v>45463.0</v>
      </c>
      <c r="D40" s="1" t="s">
        <v>82</v>
      </c>
      <c r="E40" s="1">
        <v>16665.0</v>
      </c>
      <c r="F40" s="1">
        <v>6.0</v>
      </c>
      <c r="G40" s="1" t="s">
        <v>70</v>
      </c>
      <c r="H40" s="1" t="s">
        <v>106</v>
      </c>
      <c r="I40" s="1" t="s">
        <v>44</v>
      </c>
      <c r="J40" s="1" t="s">
        <v>84</v>
      </c>
      <c r="K40" s="1" t="s">
        <v>47</v>
      </c>
      <c r="L40" s="1">
        <v>13.772727272727273</v>
      </c>
      <c r="M40" s="1">
        <v>12.164233576642335</v>
      </c>
      <c r="N40" s="1" t="s">
        <v>141</v>
      </c>
    </row>
    <row r="41" ht="15.75" customHeight="1">
      <c r="A41" s="1" t="s">
        <v>105</v>
      </c>
      <c r="B41" s="2">
        <v>45585.0</v>
      </c>
      <c r="C41" s="2">
        <v>45463.0</v>
      </c>
      <c r="D41" s="1" t="s">
        <v>82</v>
      </c>
      <c r="E41" s="1">
        <v>16665.0</v>
      </c>
      <c r="F41" s="1">
        <v>6.0</v>
      </c>
      <c r="G41" s="1" t="s">
        <v>70</v>
      </c>
      <c r="H41" s="1" t="s">
        <v>106</v>
      </c>
      <c r="I41" s="1" t="s">
        <v>44</v>
      </c>
      <c r="J41" s="1" t="s">
        <v>84</v>
      </c>
      <c r="K41" s="1" t="s">
        <v>47</v>
      </c>
      <c r="L41" s="1">
        <v>14.618421052631579</v>
      </c>
      <c r="M41" s="1">
        <v>12.164233576642335</v>
      </c>
      <c r="N41" s="1" t="s">
        <v>143</v>
      </c>
    </row>
    <row r="42" ht="15.75" customHeight="1">
      <c r="A42" s="1" t="s">
        <v>105</v>
      </c>
      <c r="B42" s="2">
        <v>45616.0</v>
      </c>
      <c r="C42" s="2">
        <v>45463.0</v>
      </c>
      <c r="D42" s="1" t="s">
        <v>82</v>
      </c>
      <c r="E42" s="1">
        <v>16665.0</v>
      </c>
      <c r="F42" s="1">
        <v>6.0</v>
      </c>
      <c r="G42" s="1" t="s">
        <v>70</v>
      </c>
      <c r="H42" s="1" t="s">
        <v>106</v>
      </c>
      <c r="I42" s="1" t="s">
        <v>44</v>
      </c>
      <c r="J42" s="1" t="s">
        <v>84</v>
      </c>
      <c r="K42" s="1" t="s">
        <v>47</v>
      </c>
      <c r="L42" s="1">
        <v>15.502325581395349</v>
      </c>
      <c r="M42" s="1">
        <v>12.164233576642335</v>
      </c>
      <c r="N42" s="1" t="s">
        <v>146</v>
      </c>
    </row>
    <row r="43" ht="15.75" customHeight="1">
      <c r="A43" s="1" t="s">
        <v>107</v>
      </c>
      <c r="B43" s="2">
        <v>45463.0</v>
      </c>
      <c r="C43" s="2">
        <v>45463.0</v>
      </c>
      <c r="D43" s="1" t="s">
        <v>68</v>
      </c>
      <c r="E43" s="1">
        <v>32000.0</v>
      </c>
      <c r="F43" s="1">
        <v>1.0</v>
      </c>
      <c r="G43" s="1" t="s">
        <v>70</v>
      </c>
      <c r="I43" s="1" t="s">
        <v>44</v>
      </c>
      <c r="J43" s="1" t="s">
        <v>45</v>
      </c>
      <c r="K43" s="1" t="s">
        <v>47</v>
      </c>
      <c r="L43" s="1">
        <v>23.357664233576642</v>
      </c>
      <c r="M43" s="1">
        <v>23.357664233576642</v>
      </c>
      <c r="N43" s="1" t="s">
        <v>50</v>
      </c>
    </row>
    <row r="44" ht="15.75" customHeight="1">
      <c r="A44" s="1" t="s">
        <v>108</v>
      </c>
      <c r="B44" s="2">
        <v>45464.0</v>
      </c>
      <c r="C44" s="2">
        <v>45464.0</v>
      </c>
      <c r="D44" s="1" t="s">
        <v>109</v>
      </c>
      <c r="E44" s="1">
        <v>64000.0</v>
      </c>
      <c r="F44" s="1">
        <v>1.0</v>
      </c>
      <c r="G44" s="1" t="s">
        <v>70</v>
      </c>
      <c r="H44" s="1" t="s">
        <v>110</v>
      </c>
      <c r="I44" s="1" t="s">
        <v>44</v>
      </c>
      <c r="J44" s="1" t="s">
        <v>45</v>
      </c>
      <c r="K44" s="1" t="s">
        <v>47</v>
      </c>
      <c r="L44" s="1">
        <v>46.715328467153284</v>
      </c>
      <c r="M44" s="1">
        <v>46.715328467153284</v>
      </c>
      <c r="N44" s="1" t="s">
        <v>50</v>
      </c>
    </row>
    <row r="45" ht="15.75" customHeight="1">
      <c r="A45" s="1" t="s">
        <v>111</v>
      </c>
      <c r="B45" s="2">
        <v>45464.0</v>
      </c>
      <c r="C45" s="2">
        <v>45464.0</v>
      </c>
      <c r="D45" s="1" t="s">
        <v>73</v>
      </c>
      <c r="E45" s="1">
        <v>46000.0</v>
      </c>
      <c r="F45" s="1">
        <v>1.0</v>
      </c>
      <c r="G45" s="1" t="s">
        <v>70</v>
      </c>
      <c r="I45" s="1" t="s">
        <v>44</v>
      </c>
      <c r="J45" s="1" t="s">
        <v>45</v>
      </c>
      <c r="K45" s="1" t="s">
        <v>47</v>
      </c>
      <c r="L45" s="1">
        <v>33.57664233576642</v>
      </c>
      <c r="M45" s="1">
        <v>33.57664233576642</v>
      </c>
      <c r="N45" s="1" t="s">
        <v>50</v>
      </c>
    </row>
    <row r="46" ht="15.75" customHeight="1">
      <c r="A46" s="1" t="s">
        <v>112</v>
      </c>
      <c r="B46" s="2">
        <v>45465.0</v>
      </c>
      <c r="C46" s="2">
        <v>45465.0</v>
      </c>
      <c r="D46" s="1" t="s">
        <v>82</v>
      </c>
      <c r="E46" s="1">
        <v>150.0</v>
      </c>
      <c r="F46" s="1">
        <v>1.0</v>
      </c>
      <c r="G46" s="1" t="s">
        <v>42</v>
      </c>
      <c r="H46" s="1" t="s">
        <v>113</v>
      </c>
      <c r="I46" s="1" t="s">
        <v>44</v>
      </c>
      <c r="J46" s="1" t="s">
        <v>84</v>
      </c>
      <c r="K46" s="1" t="s">
        <v>47</v>
      </c>
      <c r="L46" s="1">
        <v>150.0</v>
      </c>
      <c r="M46" s="1">
        <v>150.0</v>
      </c>
      <c r="N46" s="1" t="s">
        <v>50</v>
      </c>
    </row>
    <row r="47" ht="15.75" customHeight="1">
      <c r="A47" s="1" t="s">
        <v>114</v>
      </c>
      <c r="B47" s="2">
        <v>45465.0</v>
      </c>
      <c r="C47" s="2">
        <v>45465.0</v>
      </c>
      <c r="D47" s="1" t="s">
        <v>82</v>
      </c>
      <c r="E47" s="1">
        <v>11.0</v>
      </c>
      <c r="F47" s="1">
        <v>1.0</v>
      </c>
      <c r="G47" s="1" t="s">
        <v>42</v>
      </c>
      <c r="H47" s="1" t="s">
        <v>115</v>
      </c>
      <c r="I47" s="1" t="s">
        <v>44</v>
      </c>
      <c r="J47" s="1" t="s">
        <v>84</v>
      </c>
      <c r="K47" s="1" t="s">
        <v>47</v>
      </c>
      <c r="L47" s="1">
        <v>11.0</v>
      </c>
      <c r="M47" s="1">
        <v>11.0</v>
      </c>
      <c r="N47" s="1" t="s">
        <v>50</v>
      </c>
    </row>
    <row r="48" ht="15.75" customHeight="1">
      <c r="A48" s="1" t="s">
        <v>116</v>
      </c>
      <c r="B48" s="2">
        <v>45465.0</v>
      </c>
      <c r="C48" s="2">
        <v>45465.0</v>
      </c>
      <c r="D48" s="1" t="s">
        <v>76</v>
      </c>
      <c r="E48" s="1">
        <v>11000.0</v>
      </c>
      <c r="F48" s="1">
        <v>1.0</v>
      </c>
      <c r="G48" s="1" t="s">
        <v>70</v>
      </c>
      <c r="I48" s="1" t="s">
        <v>44</v>
      </c>
      <c r="J48" s="1" t="s">
        <v>45</v>
      </c>
      <c r="K48" s="1" t="s">
        <v>47</v>
      </c>
      <c r="L48" s="1">
        <v>8.02919708029197</v>
      </c>
      <c r="M48" s="1">
        <v>8.02919708029197</v>
      </c>
      <c r="N48" s="1" t="s">
        <v>50</v>
      </c>
    </row>
    <row r="49" ht="15.75" customHeight="1">
      <c r="A49" s="1" t="s">
        <v>117</v>
      </c>
      <c r="B49" s="2">
        <v>45467.0</v>
      </c>
      <c r="C49" s="2">
        <v>45467.0</v>
      </c>
      <c r="D49" s="1" t="s">
        <v>118</v>
      </c>
      <c r="E49" s="1">
        <v>22000.0</v>
      </c>
      <c r="F49" s="1">
        <v>1.0</v>
      </c>
      <c r="G49" s="1" t="s">
        <v>70</v>
      </c>
      <c r="I49" s="1" t="s">
        <v>44</v>
      </c>
      <c r="J49" s="1" t="s">
        <v>45</v>
      </c>
      <c r="K49" s="1" t="s">
        <v>47</v>
      </c>
      <c r="L49" s="1">
        <v>16.05839416058394</v>
      </c>
      <c r="M49" s="1">
        <v>16.05839416058394</v>
      </c>
      <c r="N49" s="1" t="s">
        <v>50</v>
      </c>
    </row>
    <row r="50" ht="15.75" customHeight="1">
      <c r="A50" s="1" t="s">
        <v>119</v>
      </c>
      <c r="B50" s="2">
        <v>45468.0</v>
      </c>
      <c r="C50" s="2">
        <v>45468.0</v>
      </c>
      <c r="D50" s="1" t="s">
        <v>82</v>
      </c>
      <c r="E50" s="1">
        <v>12000.0</v>
      </c>
      <c r="F50" s="1">
        <v>3.0</v>
      </c>
      <c r="G50" s="1" t="s">
        <v>70</v>
      </c>
      <c r="H50" s="1" t="s">
        <v>120</v>
      </c>
      <c r="I50" s="1" t="s">
        <v>44</v>
      </c>
      <c r="J50" s="1" t="s">
        <v>84</v>
      </c>
      <c r="K50" s="1" t="s">
        <v>47</v>
      </c>
      <c r="L50" s="1">
        <v>8.75912408759124</v>
      </c>
      <c r="M50" s="1">
        <v>8.75912408759124</v>
      </c>
      <c r="N50" s="1" t="s">
        <v>50</v>
      </c>
    </row>
    <row r="51" ht="15.75" customHeight="1">
      <c r="A51" s="1" t="s">
        <v>119</v>
      </c>
      <c r="B51" s="2">
        <v>45498.0</v>
      </c>
      <c r="C51" s="2">
        <v>45468.0</v>
      </c>
      <c r="D51" s="1" t="s">
        <v>82</v>
      </c>
      <c r="E51" s="1">
        <v>12000.0</v>
      </c>
      <c r="F51" s="1">
        <v>3.0</v>
      </c>
      <c r="G51" s="1" t="s">
        <v>70</v>
      </c>
      <c r="H51" s="1" t="s">
        <v>120</v>
      </c>
      <c r="I51" s="1" t="s">
        <v>44</v>
      </c>
      <c r="J51" s="1" t="s">
        <v>84</v>
      </c>
      <c r="K51" s="1" t="s">
        <v>47</v>
      </c>
      <c r="L51" s="1">
        <v>9.23076923076923</v>
      </c>
      <c r="M51" s="1">
        <v>8.75912408759124</v>
      </c>
      <c r="N51" s="1" t="s">
        <v>89</v>
      </c>
    </row>
    <row r="52" ht="15.75" customHeight="1">
      <c r="A52" s="1" t="s">
        <v>119</v>
      </c>
      <c r="B52" s="2">
        <v>45529.0</v>
      </c>
      <c r="C52" s="2">
        <v>45468.0</v>
      </c>
      <c r="D52" s="1" t="s">
        <v>82</v>
      </c>
      <c r="E52" s="1">
        <v>12000.0</v>
      </c>
      <c r="F52" s="1">
        <v>3.0</v>
      </c>
      <c r="G52" s="1" t="s">
        <v>70</v>
      </c>
      <c r="H52" s="1" t="s">
        <v>120</v>
      </c>
      <c r="I52" s="1" t="s">
        <v>44</v>
      </c>
      <c r="J52" s="1" t="s">
        <v>84</v>
      </c>
      <c r="K52" s="1" t="s">
        <v>47</v>
      </c>
      <c r="L52" s="1">
        <v>9.7165991902834</v>
      </c>
      <c r="M52" s="1">
        <v>8.75912408759124</v>
      </c>
      <c r="N52" s="1" t="s">
        <v>91</v>
      </c>
    </row>
    <row r="53" ht="15.75" customHeight="1">
      <c r="A53" s="1" t="s">
        <v>121</v>
      </c>
      <c r="B53" s="2">
        <v>45469.0</v>
      </c>
      <c r="C53" s="2">
        <v>45469.0</v>
      </c>
      <c r="D53" s="1" t="s">
        <v>76</v>
      </c>
      <c r="E53" s="1">
        <v>8000.0</v>
      </c>
      <c r="F53" s="1">
        <v>1.0</v>
      </c>
      <c r="G53" s="1" t="s">
        <v>70</v>
      </c>
      <c r="I53" s="1" t="s">
        <v>44</v>
      </c>
      <c r="J53" s="1" t="s">
        <v>45</v>
      </c>
      <c r="K53" s="1" t="s">
        <v>47</v>
      </c>
      <c r="L53" s="1">
        <v>5.839416058394161</v>
      </c>
      <c r="M53" s="1">
        <v>5.839416058394161</v>
      </c>
      <c r="N53" s="1" t="s">
        <v>50</v>
      </c>
    </row>
    <row r="54" ht="15.75" customHeight="1">
      <c r="A54" s="1" t="s">
        <v>122</v>
      </c>
      <c r="B54" s="2">
        <v>45470.0</v>
      </c>
      <c r="C54" s="2">
        <v>45470.0</v>
      </c>
      <c r="D54" s="1" t="s">
        <v>73</v>
      </c>
      <c r="E54" s="1">
        <v>70000.0</v>
      </c>
      <c r="F54" s="1">
        <v>1.0</v>
      </c>
      <c r="G54" s="1" t="s">
        <v>70</v>
      </c>
      <c r="I54" s="1" t="s">
        <v>44</v>
      </c>
      <c r="J54" s="1" t="s">
        <v>45</v>
      </c>
      <c r="K54" s="1" t="s">
        <v>47</v>
      </c>
      <c r="L54" s="1">
        <v>51.09489051094891</v>
      </c>
      <c r="M54" s="1">
        <v>51.09489051094891</v>
      </c>
      <c r="N54" s="1" t="s">
        <v>50</v>
      </c>
    </row>
    <row r="55" ht="15.75" customHeight="1">
      <c r="A55" s="1" t="s">
        <v>123</v>
      </c>
      <c r="B55" s="2">
        <v>45471.0</v>
      </c>
      <c r="C55" s="2">
        <v>45471.0</v>
      </c>
      <c r="D55" s="1" t="s">
        <v>76</v>
      </c>
      <c r="E55" s="1">
        <v>14000.0</v>
      </c>
      <c r="F55" s="1">
        <v>1.0</v>
      </c>
      <c r="G55" s="1" t="s">
        <v>70</v>
      </c>
      <c r="I55" s="1" t="s">
        <v>44</v>
      </c>
      <c r="J55" s="1" t="s">
        <v>45</v>
      </c>
      <c r="K55" s="1" t="s">
        <v>47</v>
      </c>
      <c r="L55" s="1">
        <v>10.218978102189782</v>
      </c>
      <c r="M55" s="1">
        <v>10.218978102189782</v>
      </c>
      <c r="N55" s="1" t="s">
        <v>50</v>
      </c>
    </row>
    <row r="56" ht="15.75" customHeight="1">
      <c r="A56" s="1" t="s">
        <v>124</v>
      </c>
      <c r="B56" s="2">
        <v>45472.0</v>
      </c>
      <c r="C56" s="2">
        <v>45472.0</v>
      </c>
      <c r="D56" s="1" t="s">
        <v>73</v>
      </c>
      <c r="E56" s="1">
        <v>45000.0</v>
      </c>
      <c r="F56" s="1">
        <v>1.0</v>
      </c>
      <c r="G56" s="1" t="s">
        <v>70</v>
      </c>
      <c r="H56" s="1" t="s">
        <v>125</v>
      </c>
      <c r="I56" s="1" t="s">
        <v>44</v>
      </c>
      <c r="J56" s="1" t="s">
        <v>45</v>
      </c>
      <c r="K56" s="1" t="s">
        <v>47</v>
      </c>
      <c r="L56" s="1">
        <v>32.846715328467155</v>
      </c>
      <c r="M56" s="1">
        <v>32.846715328467155</v>
      </c>
      <c r="N56" s="1" t="s">
        <v>50</v>
      </c>
    </row>
    <row r="57" ht="15.75" customHeight="1">
      <c r="A57" s="1" t="s">
        <v>126</v>
      </c>
      <c r="B57" s="2">
        <v>45472.0</v>
      </c>
      <c r="C57" s="2">
        <v>45472.0</v>
      </c>
      <c r="D57" s="1" t="s">
        <v>73</v>
      </c>
      <c r="E57" s="1">
        <v>40000.0</v>
      </c>
      <c r="F57" s="1">
        <v>1.0</v>
      </c>
      <c r="G57" s="1" t="s">
        <v>70</v>
      </c>
      <c r="I57" s="1" t="s">
        <v>44</v>
      </c>
      <c r="J57" s="1" t="s">
        <v>45</v>
      </c>
      <c r="K57" s="1" t="s">
        <v>47</v>
      </c>
      <c r="L57" s="1">
        <v>29.197080291970803</v>
      </c>
      <c r="M57" s="1">
        <v>29.197080291970803</v>
      </c>
      <c r="N57" s="1" t="s">
        <v>50</v>
      </c>
    </row>
    <row r="58" ht="15.75" customHeight="1">
      <c r="A58" s="1" t="s">
        <v>127</v>
      </c>
      <c r="B58" s="2">
        <v>45472.0</v>
      </c>
      <c r="C58" s="2">
        <v>45472.0</v>
      </c>
      <c r="D58" s="1" t="s">
        <v>68</v>
      </c>
      <c r="E58" s="1">
        <v>10000.0</v>
      </c>
      <c r="F58" s="1">
        <v>1.0</v>
      </c>
      <c r="G58" s="1" t="s">
        <v>70</v>
      </c>
      <c r="I58" s="1" t="s">
        <v>44</v>
      </c>
      <c r="J58" s="1" t="s">
        <v>45</v>
      </c>
      <c r="K58" s="1" t="s">
        <v>47</v>
      </c>
      <c r="L58" s="1">
        <v>7.299270072992701</v>
      </c>
      <c r="M58" s="1">
        <v>7.299270072992701</v>
      </c>
      <c r="N58" s="1" t="s">
        <v>50</v>
      </c>
    </row>
    <row r="59" ht="15.75" customHeight="1">
      <c r="A59" s="1" t="s">
        <v>128</v>
      </c>
      <c r="B59" s="2">
        <v>45472.0</v>
      </c>
      <c r="C59" s="2">
        <v>45472.0</v>
      </c>
      <c r="D59" s="1" t="s">
        <v>73</v>
      </c>
      <c r="E59" s="1">
        <v>56000.0</v>
      </c>
      <c r="F59" s="1">
        <v>1.0</v>
      </c>
      <c r="G59" s="1" t="s">
        <v>70</v>
      </c>
      <c r="I59" s="1" t="s">
        <v>44</v>
      </c>
      <c r="J59" s="1" t="s">
        <v>45</v>
      </c>
      <c r="K59" s="1" t="s">
        <v>47</v>
      </c>
      <c r="L59" s="1">
        <v>40.87591240875913</v>
      </c>
      <c r="M59" s="1">
        <v>40.87591240875913</v>
      </c>
      <c r="N59" s="1" t="s">
        <v>50</v>
      </c>
    </row>
    <row r="60" ht="15.75" customHeight="1">
      <c r="A60" s="1" t="s">
        <v>129</v>
      </c>
      <c r="B60" s="2">
        <v>45474.0</v>
      </c>
      <c r="C60" s="2">
        <v>45474.0</v>
      </c>
      <c r="D60" s="1" t="s">
        <v>68</v>
      </c>
      <c r="E60" s="1">
        <v>1200.0</v>
      </c>
      <c r="F60" s="1">
        <v>1.0</v>
      </c>
      <c r="G60" s="1" t="s">
        <v>70</v>
      </c>
      <c r="I60" s="1" t="s">
        <v>44</v>
      </c>
      <c r="J60" s="1" t="s">
        <v>45</v>
      </c>
      <c r="K60" s="1" t="s">
        <v>47</v>
      </c>
      <c r="L60" s="1">
        <v>0.9230769230769231</v>
      </c>
      <c r="M60" s="1">
        <v>0.9230769230769231</v>
      </c>
      <c r="N60" s="1" t="s">
        <v>89</v>
      </c>
    </row>
    <row r="61" ht="15.75" customHeight="1">
      <c r="A61" s="1" t="s">
        <v>130</v>
      </c>
      <c r="B61" s="2">
        <v>45474.0</v>
      </c>
      <c r="C61" s="2">
        <v>45474.0</v>
      </c>
      <c r="D61" s="1" t="s">
        <v>40</v>
      </c>
      <c r="E61" s="1">
        <v>244.0</v>
      </c>
      <c r="F61" s="1">
        <v>1.0</v>
      </c>
      <c r="G61" s="1" t="s">
        <v>42</v>
      </c>
      <c r="I61" s="1" t="s">
        <v>44</v>
      </c>
      <c r="J61" s="1" t="s">
        <v>45</v>
      </c>
      <c r="K61" s="1" t="s">
        <v>47</v>
      </c>
      <c r="L61" s="1">
        <v>244.0</v>
      </c>
      <c r="M61" s="1">
        <v>244.0</v>
      </c>
      <c r="N61" s="1" t="s">
        <v>89</v>
      </c>
    </row>
    <row r="62" ht="15.75" customHeight="1">
      <c r="A62" s="1" t="s">
        <v>131</v>
      </c>
      <c r="B62" s="2">
        <v>45474.0</v>
      </c>
      <c r="C62" s="2">
        <v>45474.0</v>
      </c>
      <c r="D62" s="1" t="s">
        <v>58</v>
      </c>
      <c r="E62" s="3">
        <v>1500.0</v>
      </c>
      <c r="F62" s="1">
        <v>1.0</v>
      </c>
      <c r="G62" s="1" t="s">
        <v>42</v>
      </c>
      <c r="I62" s="1" t="s">
        <v>66</v>
      </c>
      <c r="J62" s="1" t="s">
        <v>45</v>
      </c>
      <c r="K62" s="1" t="s">
        <v>47</v>
      </c>
      <c r="L62" s="1">
        <v>3750.0</v>
      </c>
      <c r="M62" s="1">
        <v>3750.0</v>
      </c>
      <c r="N62" s="1" t="s">
        <v>89</v>
      </c>
    </row>
    <row r="63" ht="15.75" customHeight="1">
      <c r="A63" s="1" t="s">
        <v>132</v>
      </c>
      <c r="B63" s="2">
        <v>45475.0</v>
      </c>
      <c r="C63" s="2">
        <v>45475.0</v>
      </c>
      <c r="D63" s="1" t="s">
        <v>73</v>
      </c>
      <c r="E63" s="1">
        <v>73000.0</v>
      </c>
      <c r="F63" s="1">
        <v>1.0</v>
      </c>
      <c r="G63" s="1" t="s">
        <v>70</v>
      </c>
      <c r="H63" s="1" t="s">
        <v>133</v>
      </c>
      <c r="I63" s="1" t="s">
        <v>44</v>
      </c>
      <c r="J63" s="1" t="s">
        <v>45</v>
      </c>
      <c r="K63" s="1" t="s">
        <v>47</v>
      </c>
      <c r="L63" s="1">
        <v>56.15384615384615</v>
      </c>
      <c r="M63" s="1">
        <v>56.15384615384615</v>
      </c>
      <c r="N63" s="1" t="s">
        <v>89</v>
      </c>
    </row>
    <row r="64" ht="15.75" customHeight="1">
      <c r="A64" s="1" t="s">
        <v>134</v>
      </c>
      <c r="B64" s="2">
        <v>45475.0</v>
      </c>
      <c r="C64" s="2">
        <v>45475.0</v>
      </c>
      <c r="D64" s="1" t="s">
        <v>76</v>
      </c>
      <c r="E64" s="1">
        <v>5000.0</v>
      </c>
      <c r="F64" s="1">
        <v>1.0</v>
      </c>
      <c r="G64" s="1" t="s">
        <v>70</v>
      </c>
      <c r="I64" s="1" t="s">
        <v>44</v>
      </c>
      <c r="J64" s="1" t="s">
        <v>45</v>
      </c>
      <c r="K64" s="1" t="s">
        <v>47</v>
      </c>
      <c r="L64" s="1">
        <v>3.8461538461538463</v>
      </c>
      <c r="M64" s="1">
        <v>3.8461538461538463</v>
      </c>
      <c r="N64" s="1" t="s">
        <v>89</v>
      </c>
    </row>
    <row r="65" ht="15.75" customHeight="1">
      <c r="A65" s="1" t="s">
        <v>135</v>
      </c>
      <c r="B65" s="2">
        <v>45475.0</v>
      </c>
      <c r="C65" s="2">
        <v>45475.0</v>
      </c>
      <c r="D65" s="1" t="s">
        <v>68</v>
      </c>
      <c r="E65" s="1">
        <v>20000.0</v>
      </c>
      <c r="F65" s="1">
        <v>1.0</v>
      </c>
      <c r="G65" s="1" t="s">
        <v>70</v>
      </c>
      <c r="I65" s="1" t="s">
        <v>44</v>
      </c>
      <c r="J65" s="1" t="s">
        <v>45</v>
      </c>
      <c r="K65" s="1" t="s">
        <v>47</v>
      </c>
      <c r="L65" s="1">
        <v>15.384615384615385</v>
      </c>
      <c r="M65" s="1">
        <v>15.384615384615385</v>
      </c>
      <c r="N65" s="1" t="s">
        <v>89</v>
      </c>
    </row>
    <row r="66" ht="15.75" customHeight="1">
      <c r="A66" s="1" t="s">
        <v>136</v>
      </c>
      <c r="B66" s="2">
        <v>45476.0</v>
      </c>
      <c r="C66" s="2">
        <v>45476.0</v>
      </c>
      <c r="D66" s="1" t="s">
        <v>82</v>
      </c>
      <c r="E66" s="1">
        <v>1915.0</v>
      </c>
      <c r="F66" s="1">
        <v>6.0</v>
      </c>
      <c r="G66" s="1" t="s">
        <v>70</v>
      </c>
      <c r="H66" s="1" t="s">
        <v>137</v>
      </c>
      <c r="I66" s="1" t="s">
        <v>44</v>
      </c>
      <c r="J66" s="1" t="s">
        <v>84</v>
      </c>
      <c r="K66" s="1" t="s">
        <v>47</v>
      </c>
      <c r="L66" s="1">
        <v>1.4730769230769232</v>
      </c>
      <c r="M66" s="1">
        <v>1.4730769230769232</v>
      </c>
      <c r="N66" s="1" t="s">
        <v>89</v>
      </c>
    </row>
    <row r="67" ht="15.75" customHeight="1">
      <c r="A67" s="1" t="s">
        <v>136</v>
      </c>
      <c r="B67" s="2">
        <v>45507.0</v>
      </c>
      <c r="C67" s="2">
        <v>45476.0</v>
      </c>
      <c r="D67" s="1" t="s">
        <v>82</v>
      </c>
      <c r="E67" s="1">
        <v>1915.0</v>
      </c>
      <c r="F67" s="1">
        <v>6.0</v>
      </c>
      <c r="G67" s="1" t="s">
        <v>70</v>
      </c>
      <c r="H67" s="1" t="s">
        <v>137</v>
      </c>
      <c r="I67" s="1" t="s">
        <v>44</v>
      </c>
      <c r="J67" s="1" t="s">
        <v>84</v>
      </c>
      <c r="K67" s="1" t="s">
        <v>47</v>
      </c>
      <c r="L67" s="1">
        <v>1.5506072874493928</v>
      </c>
      <c r="M67" s="1">
        <v>1.4730769230769232</v>
      </c>
      <c r="N67" s="1" t="s">
        <v>91</v>
      </c>
    </row>
    <row r="68" ht="15.75" customHeight="1">
      <c r="A68" s="1" t="s">
        <v>136</v>
      </c>
      <c r="B68" s="2">
        <v>45538.0</v>
      </c>
      <c r="C68" s="2">
        <v>45476.0</v>
      </c>
      <c r="D68" s="1" t="s">
        <v>82</v>
      </c>
      <c r="E68" s="1">
        <v>1915.0</v>
      </c>
      <c r="F68" s="1">
        <v>6.0</v>
      </c>
      <c r="G68" s="1" t="s">
        <v>70</v>
      </c>
      <c r="H68" s="1" t="s">
        <v>137</v>
      </c>
      <c r="I68" s="1" t="s">
        <v>44</v>
      </c>
      <c r="J68" s="1" t="s">
        <v>84</v>
      </c>
      <c r="K68" s="1" t="s">
        <v>47</v>
      </c>
      <c r="L68" s="1">
        <v>1.5826446280991735</v>
      </c>
      <c r="M68" s="1">
        <v>1.4730769230769232</v>
      </c>
      <c r="N68" s="1" t="s">
        <v>141</v>
      </c>
    </row>
    <row r="69" ht="15.75" customHeight="1">
      <c r="A69" s="1" t="s">
        <v>136</v>
      </c>
      <c r="B69" s="2">
        <v>45568.0</v>
      </c>
      <c r="C69" s="2">
        <v>45476.0</v>
      </c>
      <c r="D69" s="1" t="s">
        <v>82</v>
      </c>
      <c r="E69" s="1">
        <v>1915.0</v>
      </c>
      <c r="F69" s="1">
        <v>6.0</v>
      </c>
      <c r="G69" s="1" t="s">
        <v>70</v>
      </c>
      <c r="H69" s="1" t="s">
        <v>137</v>
      </c>
      <c r="I69" s="1" t="s">
        <v>44</v>
      </c>
      <c r="J69" s="1" t="s">
        <v>84</v>
      </c>
      <c r="K69" s="1" t="s">
        <v>47</v>
      </c>
      <c r="L69" s="1">
        <v>1.6798245614035088</v>
      </c>
      <c r="M69" s="1">
        <v>1.4730769230769232</v>
      </c>
      <c r="N69" s="1" t="s">
        <v>143</v>
      </c>
    </row>
    <row r="70" ht="15.75" customHeight="1">
      <c r="A70" s="1" t="s">
        <v>136</v>
      </c>
      <c r="B70" s="2">
        <v>45599.0</v>
      </c>
      <c r="C70" s="2">
        <v>45476.0</v>
      </c>
      <c r="D70" s="1" t="s">
        <v>82</v>
      </c>
      <c r="E70" s="1">
        <v>1915.0</v>
      </c>
      <c r="F70" s="1">
        <v>6.0</v>
      </c>
      <c r="G70" s="1" t="s">
        <v>70</v>
      </c>
      <c r="H70" s="1" t="s">
        <v>137</v>
      </c>
      <c r="I70" s="1" t="s">
        <v>44</v>
      </c>
      <c r="J70" s="1" t="s">
        <v>84</v>
      </c>
      <c r="K70" s="1" t="s">
        <v>47</v>
      </c>
      <c r="L70" s="1">
        <v>1.7813953488372094</v>
      </c>
      <c r="M70" s="1">
        <v>1.4730769230769232</v>
      </c>
      <c r="N70" s="1" t="s">
        <v>146</v>
      </c>
    </row>
    <row r="71" ht="15.75" customHeight="1">
      <c r="A71" s="1" t="s">
        <v>136</v>
      </c>
      <c r="B71" s="2">
        <v>45629.0</v>
      </c>
      <c r="C71" s="2">
        <v>45476.0</v>
      </c>
      <c r="D71" s="1" t="s">
        <v>82</v>
      </c>
      <c r="E71" s="1">
        <v>1915.0</v>
      </c>
      <c r="F71" s="1">
        <v>6.0</v>
      </c>
      <c r="G71" s="1" t="s">
        <v>70</v>
      </c>
      <c r="H71" s="1" t="s">
        <v>137</v>
      </c>
      <c r="I71" s="1" t="s">
        <v>44</v>
      </c>
      <c r="J71" s="1" t="s">
        <v>84</v>
      </c>
      <c r="K71" s="1" t="s">
        <v>47</v>
      </c>
      <c r="L71" s="1">
        <v>1.6652173913043478</v>
      </c>
      <c r="M71" s="1">
        <v>1.4730769230769232</v>
      </c>
      <c r="N71" s="1" t="s">
        <v>196</v>
      </c>
    </row>
    <row r="72" ht="15.75" customHeight="1">
      <c r="A72" s="1" t="s">
        <v>138</v>
      </c>
      <c r="B72" s="2">
        <v>45477.0</v>
      </c>
      <c r="C72" s="2">
        <v>45477.0</v>
      </c>
      <c r="D72" s="1" t="s">
        <v>76</v>
      </c>
      <c r="E72" s="1">
        <v>17000.0</v>
      </c>
      <c r="F72" s="1">
        <v>1.0</v>
      </c>
      <c r="G72" s="1" t="s">
        <v>70</v>
      </c>
      <c r="I72" s="1" t="s">
        <v>44</v>
      </c>
      <c r="J72" s="1" t="s">
        <v>45</v>
      </c>
      <c r="K72" s="1" t="s">
        <v>47</v>
      </c>
      <c r="L72" s="1">
        <v>13.076923076923077</v>
      </c>
      <c r="M72" s="1">
        <v>13.076923076923077</v>
      </c>
      <c r="N72" s="1" t="s">
        <v>89</v>
      </c>
    </row>
    <row r="73" ht="15.75" customHeight="1">
      <c r="A73" s="1" t="s">
        <v>139</v>
      </c>
      <c r="B73" s="2">
        <v>45478.0</v>
      </c>
      <c r="C73" s="2">
        <v>45478.0</v>
      </c>
      <c r="D73" s="1" t="s">
        <v>68</v>
      </c>
      <c r="E73" s="1">
        <v>27000.0</v>
      </c>
      <c r="F73" s="1">
        <v>1.0</v>
      </c>
      <c r="G73" s="1" t="s">
        <v>70</v>
      </c>
      <c r="I73" s="1" t="s">
        <v>44</v>
      </c>
      <c r="J73" s="1" t="s">
        <v>45</v>
      </c>
      <c r="K73" s="1" t="s">
        <v>47</v>
      </c>
      <c r="L73" s="1">
        <v>20.76923076923077</v>
      </c>
      <c r="M73" s="1">
        <v>20.76923076923077</v>
      </c>
      <c r="N73" s="1" t="s">
        <v>89</v>
      </c>
    </row>
    <row r="74" ht="15.75" customHeight="1">
      <c r="A74" s="1" t="s">
        <v>140</v>
      </c>
      <c r="B74" s="2">
        <v>45479.0</v>
      </c>
      <c r="C74" s="2">
        <v>45479.0</v>
      </c>
      <c r="D74" s="1" t="s">
        <v>76</v>
      </c>
      <c r="E74" s="1">
        <v>9300.0</v>
      </c>
      <c r="F74" s="1">
        <v>1.0</v>
      </c>
      <c r="G74" s="1" t="s">
        <v>70</v>
      </c>
      <c r="I74" s="1" t="s">
        <v>44</v>
      </c>
      <c r="J74" s="1" t="s">
        <v>45</v>
      </c>
      <c r="K74" s="1" t="s">
        <v>47</v>
      </c>
      <c r="L74" s="1">
        <v>7.153846153846154</v>
      </c>
      <c r="M74" s="1">
        <v>7.153846153846154</v>
      </c>
      <c r="N74" s="1" t="s">
        <v>89</v>
      </c>
    </row>
    <row r="75" ht="15.75" customHeight="1">
      <c r="A75" s="1" t="s">
        <v>142</v>
      </c>
      <c r="B75" s="2">
        <v>45479.0</v>
      </c>
      <c r="C75" s="2">
        <v>45479.0</v>
      </c>
      <c r="D75" s="1" t="s">
        <v>73</v>
      </c>
      <c r="E75" s="1">
        <v>5000.0</v>
      </c>
      <c r="F75" s="1">
        <v>3.0</v>
      </c>
      <c r="G75" s="1" t="s">
        <v>70</v>
      </c>
      <c r="I75" s="1" t="s">
        <v>44</v>
      </c>
      <c r="J75" s="1" t="s">
        <v>45</v>
      </c>
      <c r="K75" s="1" t="s">
        <v>47</v>
      </c>
      <c r="L75" s="1">
        <v>3.8461538461538463</v>
      </c>
      <c r="M75" s="1">
        <v>3.8461538461538463</v>
      </c>
      <c r="N75" s="1" t="s">
        <v>89</v>
      </c>
    </row>
    <row r="76" ht="15.75" customHeight="1">
      <c r="A76" s="1" t="s">
        <v>142</v>
      </c>
      <c r="B76" s="2">
        <v>45510.0</v>
      </c>
      <c r="C76" s="2">
        <v>45479.0</v>
      </c>
      <c r="D76" s="1" t="s">
        <v>73</v>
      </c>
      <c r="E76" s="1">
        <v>5000.0</v>
      </c>
      <c r="F76" s="1">
        <v>3.0</v>
      </c>
      <c r="G76" s="1" t="s">
        <v>70</v>
      </c>
      <c r="I76" s="1" t="s">
        <v>44</v>
      </c>
      <c r="J76" s="1" t="s">
        <v>45</v>
      </c>
      <c r="K76" s="1" t="s">
        <v>47</v>
      </c>
      <c r="L76" s="1">
        <v>4.048582995951417</v>
      </c>
      <c r="M76" s="1">
        <v>3.8461538461538463</v>
      </c>
      <c r="N76" s="1" t="s">
        <v>91</v>
      </c>
    </row>
    <row r="77" ht="15.75" customHeight="1">
      <c r="A77" s="1" t="s">
        <v>142</v>
      </c>
      <c r="B77" s="2">
        <v>45541.0</v>
      </c>
      <c r="C77" s="2">
        <v>45479.0</v>
      </c>
      <c r="D77" s="1" t="s">
        <v>73</v>
      </c>
      <c r="E77" s="1">
        <v>5000.0</v>
      </c>
      <c r="F77" s="1">
        <v>3.0</v>
      </c>
      <c r="G77" s="1" t="s">
        <v>70</v>
      </c>
      <c r="I77" s="1" t="s">
        <v>44</v>
      </c>
      <c r="J77" s="1" t="s">
        <v>45</v>
      </c>
      <c r="K77" s="1" t="s">
        <v>47</v>
      </c>
      <c r="L77" s="1">
        <v>4.132231404958677</v>
      </c>
      <c r="M77" s="1">
        <v>3.8461538461538463</v>
      </c>
      <c r="N77" s="1" t="s">
        <v>141</v>
      </c>
    </row>
    <row r="78" ht="15.75" customHeight="1">
      <c r="A78" s="1" t="s">
        <v>144</v>
      </c>
      <c r="B78" s="2">
        <v>45479.0</v>
      </c>
      <c r="C78" s="2">
        <v>45479.0</v>
      </c>
      <c r="D78" s="1" t="s">
        <v>68</v>
      </c>
      <c r="E78" s="1">
        <v>2000.0</v>
      </c>
      <c r="F78" s="1">
        <v>3.0</v>
      </c>
      <c r="G78" s="1" t="s">
        <v>70</v>
      </c>
      <c r="I78" s="1" t="s">
        <v>44</v>
      </c>
      <c r="J78" s="1" t="s">
        <v>45</v>
      </c>
      <c r="K78" s="1" t="s">
        <v>47</v>
      </c>
      <c r="L78" s="1">
        <v>1.5384615384615385</v>
      </c>
      <c r="M78" s="1">
        <v>1.5384615384615385</v>
      </c>
      <c r="N78" s="1" t="s">
        <v>89</v>
      </c>
    </row>
    <row r="79" ht="15.75" customHeight="1">
      <c r="A79" s="1" t="s">
        <v>144</v>
      </c>
      <c r="B79" s="2">
        <v>45510.0</v>
      </c>
      <c r="C79" s="2">
        <v>45479.0</v>
      </c>
      <c r="D79" s="1" t="s">
        <v>68</v>
      </c>
      <c r="E79" s="1">
        <v>2000.0</v>
      </c>
      <c r="F79" s="1">
        <v>3.0</v>
      </c>
      <c r="G79" s="1" t="s">
        <v>70</v>
      </c>
      <c r="I79" s="1" t="s">
        <v>44</v>
      </c>
      <c r="J79" s="1" t="s">
        <v>45</v>
      </c>
      <c r="K79" s="1" t="s">
        <v>47</v>
      </c>
      <c r="L79" s="1">
        <v>1.6194331983805668</v>
      </c>
      <c r="M79" s="1">
        <v>1.5384615384615385</v>
      </c>
      <c r="N79" s="1" t="s">
        <v>91</v>
      </c>
    </row>
    <row r="80" ht="15.75" customHeight="1">
      <c r="A80" s="1" t="s">
        <v>144</v>
      </c>
      <c r="B80" s="2">
        <v>45541.0</v>
      </c>
      <c r="C80" s="2">
        <v>45479.0</v>
      </c>
      <c r="D80" s="1" t="s">
        <v>68</v>
      </c>
      <c r="E80" s="1">
        <v>2000.0</v>
      </c>
      <c r="F80" s="1">
        <v>3.0</v>
      </c>
      <c r="G80" s="1" t="s">
        <v>70</v>
      </c>
      <c r="I80" s="1" t="s">
        <v>44</v>
      </c>
      <c r="J80" s="1" t="s">
        <v>45</v>
      </c>
      <c r="K80" s="1" t="s">
        <v>47</v>
      </c>
      <c r="L80" s="1">
        <v>1.6528925619834711</v>
      </c>
      <c r="M80" s="1">
        <v>1.5384615384615385</v>
      </c>
      <c r="N80" s="1" t="s">
        <v>141</v>
      </c>
    </row>
    <row r="81" ht="15.75" customHeight="1">
      <c r="A81" s="1" t="s">
        <v>145</v>
      </c>
      <c r="B81" s="2">
        <v>45480.0</v>
      </c>
      <c r="C81" s="2">
        <v>45480.0</v>
      </c>
      <c r="D81" s="1" t="s">
        <v>82</v>
      </c>
      <c r="E81" s="1">
        <v>1.0</v>
      </c>
      <c r="F81" s="1">
        <v>1.0</v>
      </c>
      <c r="G81" s="1" t="s">
        <v>42</v>
      </c>
      <c r="H81" s="1" t="s">
        <v>147</v>
      </c>
      <c r="I81" s="1" t="s">
        <v>44</v>
      </c>
      <c r="J81" s="1" t="s">
        <v>84</v>
      </c>
      <c r="K81" s="1" t="s">
        <v>47</v>
      </c>
      <c r="L81" s="1">
        <v>1.0</v>
      </c>
      <c r="M81" s="1">
        <v>1.0</v>
      </c>
      <c r="N81" s="1" t="s">
        <v>89</v>
      </c>
    </row>
    <row r="82" ht="15.75" customHeight="1">
      <c r="A82" s="1" t="s">
        <v>148</v>
      </c>
      <c r="B82" s="2">
        <v>45480.0</v>
      </c>
      <c r="C82" s="2">
        <v>45480.0</v>
      </c>
      <c r="D82" s="1" t="s">
        <v>73</v>
      </c>
      <c r="E82" s="1">
        <v>23000.0</v>
      </c>
      <c r="F82" s="1">
        <v>1.0</v>
      </c>
      <c r="G82" s="1" t="s">
        <v>70</v>
      </c>
      <c r="I82" s="1" t="s">
        <v>44</v>
      </c>
      <c r="J82" s="1" t="s">
        <v>45</v>
      </c>
      <c r="K82" s="1" t="s">
        <v>47</v>
      </c>
      <c r="L82" s="1">
        <v>17.692307692307693</v>
      </c>
      <c r="M82" s="1">
        <v>17.692307692307693</v>
      </c>
      <c r="N82" s="1" t="s">
        <v>89</v>
      </c>
    </row>
    <row r="83" ht="15.75" customHeight="1">
      <c r="A83" s="1" t="s">
        <v>149</v>
      </c>
      <c r="B83" s="2">
        <v>45482.0</v>
      </c>
      <c r="C83" s="2">
        <v>45482.0</v>
      </c>
      <c r="D83" s="1" t="s">
        <v>73</v>
      </c>
      <c r="E83" s="1">
        <v>32000.0</v>
      </c>
      <c r="F83" s="1">
        <v>1.0</v>
      </c>
      <c r="G83" s="1" t="s">
        <v>70</v>
      </c>
      <c r="I83" s="1" t="s">
        <v>44</v>
      </c>
      <c r="J83" s="1" t="s">
        <v>45</v>
      </c>
      <c r="K83" s="1" t="s">
        <v>47</v>
      </c>
      <c r="L83" s="1">
        <v>24.615384615384617</v>
      </c>
      <c r="M83" s="1">
        <v>24.615384615384617</v>
      </c>
      <c r="N83" s="1" t="s">
        <v>89</v>
      </c>
    </row>
    <row r="84" ht="15.75" customHeight="1">
      <c r="A84" s="1" t="s">
        <v>150</v>
      </c>
      <c r="B84" s="2">
        <v>45482.0</v>
      </c>
      <c r="C84" s="2">
        <v>45482.0</v>
      </c>
      <c r="D84" s="1" t="s">
        <v>76</v>
      </c>
      <c r="E84" s="1">
        <v>15000.0</v>
      </c>
      <c r="F84" s="1">
        <v>1.0</v>
      </c>
      <c r="G84" s="1" t="s">
        <v>70</v>
      </c>
      <c r="I84" s="1" t="s">
        <v>44</v>
      </c>
      <c r="J84" s="1" t="s">
        <v>45</v>
      </c>
      <c r="K84" s="1" t="s">
        <v>47</v>
      </c>
      <c r="L84" s="1">
        <v>11.538461538461538</v>
      </c>
      <c r="M84" s="1">
        <v>11.538461538461538</v>
      </c>
      <c r="N84" s="1" t="s">
        <v>89</v>
      </c>
    </row>
    <row r="85" ht="15.75" customHeight="1">
      <c r="A85" s="1" t="s">
        <v>151</v>
      </c>
      <c r="B85" s="2">
        <v>45482.0</v>
      </c>
      <c r="C85" s="2">
        <v>45482.0</v>
      </c>
      <c r="D85" s="1" t="s">
        <v>68</v>
      </c>
      <c r="E85" s="1">
        <v>38000.0</v>
      </c>
      <c r="F85" s="1">
        <v>3.0</v>
      </c>
      <c r="G85" s="1" t="s">
        <v>70</v>
      </c>
      <c r="I85" s="1" t="s">
        <v>44</v>
      </c>
      <c r="J85" s="1" t="s">
        <v>45</v>
      </c>
      <c r="K85" s="1" t="s">
        <v>47</v>
      </c>
      <c r="L85" s="1">
        <v>29.23076923076923</v>
      </c>
      <c r="M85" s="1">
        <v>29.23076923076923</v>
      </c>
      <c r="N85" s="1" t="s">
        <v>89</v>
      </c>
    </row>
    <row r="86" ht="15.75" customHeight="1">
      <c r="A86" s="1" t="s">
        <v>151</v>
      </c>
      <c r="B86" s="2">
        <v>45513.0</v>
      </c>
      <c r="C86" s="2">
        <v>45482.0</v>
      </c>
      <c r="D86" s="1" t="s">
        <v>68</v>
      </c>
      <c r="E86" s="1">
        <v>38000.0</v>
      </c>
      <c r="F86" s="1">
        <v>3.0</v>
      </c>
      <c r="G86" s="1" t="s">
        <v>70</v>
      </c>
      <c r="I86" s="1" t="s">
        <v>44</v>
      </c>
      <c r="J86" s="1" t="s">
        <v>45</v>
      </c>
      <c r="K86" s="1" t="s">
        <v>47</v>
      </c>
      <c r="L86" s="1">
        <v>30.76923076923077</v>
      </c>
      <c r="M86" s="1">
        <v>29.23076923076923</v>
      </c>
      <c r="N86" s="1" t="s">
        <v>91</v>
      </c>
    </row>
    <row r="87" ht="15.75" customHeight="1">
      <c r="A87" s="1" t="s">
        <v>151</v>
      </c>
      <c r="B87" s="2">
        <v>45544.0</v>
      </c>
      <c r="C87" s="2">
        <v>45482.0</v>
      </c>
      <c r="D87" s="1" t="s">
        <v>68</v>
      </c>
      <c r="E87" s="1">
        <v>38000.0</v>
      </c>
      <c r="F87" s="1">
        <v>3.0</v>
      </c>
      <c r="G87" s="1" t="s">
        <v>70</v>
      </c>
      <c r="I87" s="1" t="s">
        <v>44</v>
      </c>
      <c r="J87" s="1" t="s">
        <v>45</v>
      </c>
      <c r="K87" s="1" t="s">
        <v>47</v>
      </c>
      <c r="L87" s="1">
        <v>31.40495867768595</v>
      </c>
      <c r="M87" s="1">
        <v>29.23076923076923</v>
      </c>
      <c r="N87" s="1" t="s">
        <v>141</v>
      </c>
    </row>
    <row r="88" ht="15.75" customHeight="1">
      <c r="A88" s="1" t="s">
        <v>152</v>
      </c>
      <c r="B88" s="2">
        <v>45483.0</v>
      </c>
      <c r="C88" s="2">
        <v>45483.0</v>
      </c>
      <c r="D88" s="1" t="s">
        <v>76</v>
      </c>
      <c r="E88" s="1">
        <v>25500.0</v>
      </c>
      <c r="F88" s="1">
        <v>1.0</v>
      </c>
      <c r="G88" s="1" t="s">
        <v>70</v>
      </c>
      <c r="I88" s="1" t="s">
        <v>44</v>
      </c>
      <c r="J88" s="1" t="s">
        <v>45</v>
      </c>
      <c r="K88" s="1" t="s">
        <v>47</v>
      </c>
      <c r="L88" s="1">
        <v>19.615384615384617</v>
      </c>
      <c r="M88" s="1">
        <v>19.615384615384617</v>
      </c>
      <c r="N88" s="1" t="s">
        <v>89</v>
      </c>
    </row>
    <row r="89" ht="15.75" customHeight="1">
      <c r="A89" s="1" t="s">
        <v>153</v>
      </c>
      <c r="B89" s="2">
        <v>45483.0</v>
      </c>
      <c r="C89" s="2">
        <v>45483.0</v>
      </c>
      <c r="D89" s="1" t="s">
        <v>82</v>
      </c>
      <c r="E89" s="1">
        <v>1935.0</v>
      </c>
      <c r="F89" s="1">
        <v>6.0</v>
      </c>
      <c r="G89" s="1" t="s">
        <v>70</v>
      </c>
      <c r="I89" s="1" t="s">
        <v>44</v>
      </c>
      <c r="J89" s="1" t="s">
        <v>84</v>
      </c>
      <c r="K89" s="1" t="s">
        <v>47</v>
      </c>
      <c r="L89" s="1">
        <v>1.4884615384615385</v>
      </c>
      <c r="M89" s="1">
        <v>1.4884615384615385</v>
      </c>
      <c r="N89" s="1" t="s">
        <v>89</v>
      </c>
    </row>
    <row r="90" ht="15.75" customHeight="1">
      <c r="A90" s="1" t="s">
        <v>153</v>
      </c>
      <c r="B90" s="2">
        <v>45514.0</v>
      </c>
      <c r="C90" s="2">
        <v>45483.0</v>
      </c>
      <c r="D90" s="1" t="s">
        <v>82</v>
      </c>
      <c r="E90" s="1">
        <v>1935.0</v>
      </c>
      <c r="F90" s="1">
        <v>6.0</v>
      </c>
      <c r="G90" s="1" t="s">
        <v>70</v>
      </c>
      <c r="I90" s="1" t="s">
        <v>44</v>
      </c>
      <c r="J90" s="1" t="s">
        <v>84</v>
      </c>
      <c r="K90" s="1" t="s">
        <v>47</v>
      </c>
      <c r="L90" s="1">
        <v>1.5668016194331984</v>
      </c>
      <c r="M90" s="1">
        <v>1.4884615384615385</v>
      </c>
      <c r="N90" s="1" t="s">
        <v>91</v>
      </c>
    </row>
    <row r="91" ht="15.75" customHeight="1">
      <c r="A91" s="1" t="s">
        <v>153</v>
      </c>
      <c r="B91" s="2">
        <v>45545.0</v>
      </c>
      <c r="C91" s="2">
        <v>45483.0</v>
      </c>
      <c r="D91" s="1" t="s">
        <v>82</v>
      </c>
      <c r="E91" s="1">
        <v>1935.0</v>
      </c>
      <c r="F91" s="1">
        <v>6.0</v>
      </c>
      <c r="G91" s="1" t="s">
        <v>70</v>
      </c>
      <c r="I91" s="1" t="s">
        <v>44</v>
      </c>
      <c r="J91" s="1" t="s">
        <v>84</v>
      </c>
      <c r="K91" s="1" t="s">
        <v>47</v>
      </c>
      <c r="L91" s="1">
        <v>1.5991735537190082</v>
      </c>
      <c r="M91" s="1">
        <v>1.4884615384615385</v>
      </c>
      <c r="N91" s="1" t="s">
        <v>141</v>
      </c>
    </row>
    <row r="92" ht="15.75" customHeight="1">
      <c r="A92" s="1" t="s">
        <v>153</v>
      </c>
      <c r="B92" s="2">
        <v>45575.0</v>
      </c>
      <c r="C92" s="2">
        <v>45483.0</v>
      </c>
      <c r="D92" s="1" t="s">
        <v>82</v>
      </c>
      <c r="E92" s="1">
        <v>1935.0</v>
      </c>
      <c r="F92" s="1">
        <v>6.0</v>
      </c>
      <c r="G92" s="1" t="s">
        <v>70</v>
      </c>
      <c r="I92" s="1" t="s">
        <v>44</v>
      </c>
      <c r="J92" s="1" t="s">
        <v>84</v>
      </c>
      <c r="K92" s="1" t="s">
        <v>47</v>
      </c>
      <c r="L92" s="1">
        <v>1.6973684210526316</v>
      </c>
      <c r="M92" s="1">
        <v>1.4884615384615385</v>
      </c>
      <c r="N92" s="1" t="s">
        <v>143</v>
      </c>
    </row>
    <row r="93" ht="15.75" customHeight="1">
      <c r="A93" s="1" t="s">
        <v>153</v>
      </c>
      <c r="B93" s="2">
        <v>45606.0</v>
      </c>
      <c r="C93" s="2">
        <v>45483.0</v>
      </c>
      <c r="D93" s="1" t="s">
        <v>82</v>
      </c>
      <c r="E93" s="1">
        <v>1935.0</v>
      </c>
      <c r="F93" s="1">
        <v>6.0</v>
      </c>
      <c r="G93" s="1" t="s">
        <v>70</v>
      </c>
      <c r="I93" s="1" t="s">
        <v>44</v>
      </c>
      <c r="J93" s="1" t="s">
        <v>84</v>
      </c>
      <c r="K93" s="1" t="s">
        <v>47</v>
      </c>
      <c r="L93" s="1">
        <v>1.8</v>
      </c>
      <c r="M93" s="1">
        <v>1.4884615384615385</v>
      </c>
      <c r="N93" s="1" t="s">
        <v>146</v>
      </c>
    </row>
    <row r="94" ht="15.75" customHeight="1">
      <c r="A94" s="1" t="s">
        <v>153</v>
      </c>
      <c r="B94" s="2">
        <v>45636.0</v>
      </c>
      <c r="C94" s="2">
        <v>45483.0</v>
      </c>
      <c r="D94" s="1" t="s">
        <v>82</v>
      </c>
      <c r="E94" s="1">
        <v>1935.0</v>
      </c>
      <c r="F94" s="1">
        <v>6.0</v>
      </c>
      <c r="G94" s="1" t="s">
        <v>70</v>
      </c>
      <c r="I94" s="1" t="s">
        <v>44</v>
      </c>
      <c r="J94" s="1" t="s">
        <v>84</v>
      </c>
      <c r="K94" s="1" t="s">
        <v>47</v>
      </c>
      <c r="L94" s="1">
        <v>1.682608695652174</v>
      </c>
      <c r="M94" s="1">
        <v>1.4884615384615385</v>
      </c>
      <c r="N94" s="1" t="s">
        <v>196</v>
      </c>
    </row>
    <row r="95" ht="15.75" customHeight="1">
      <c r="A95" s="1" t="s">
        <v>154</v>
      </c>
      <c r="B95" s="2">
        <v>45485.0</v>
      </c>
      <c r="C95" s="2">
        <v>45485.0</v>
      </c>
      <c r="D95" s="1" t="s">
        <v>76</v>
      </c>
      <c r="E95" s="1">
        <v>11000.0</v>
      </c>
      <c r="F95" s="1">
        <v>1.0</v>
      </c>
      <c r="G95" s="1" t="s">
        <v>70</v>
      </c>
      <c r="I95" s="1" t="s">
        <v>44</v>
      </c>
      <c r="J95" s="1" t="s">
        <v>45</v>
      </c>
      <c r="K95" s="1" t="s">
        <v>47</v>
      </c>
      <c r="L95" s="1">
        <v>8.461538461538462</v>
      </c>
      <c r="M95" s="1">
        <v>8.461538461538462</v>
      </c>
      <c r="N95" s="1" t="s">
        <v>89</v>
      </c>
    </row>
    <row r="96" ht="15.75" customHeight="1">
      <c r="A96" s="1" t="s">
        <v>155</v>
      </c>
      <c r="B96" s="2">
        <v>45486.0</v>
      </c>
      <c r="C96" s="2">
        <v>45486.0</v>
      </c>
      <c r="D96" s="1" t="s">
        <v>82</v>
      </c>
      <c r="E96" s="1">
        <v>13000.0</v>
      </c>
      <c r="F96" s="1">
        <v>1.0</v>
      </c>
      <c r="G96" s="1" t="s">
        <v>70</v>
      </c>
      <c r="H96" s="1" t="s">
        <v>156</v>
      </c>
      <c r="I96" s="1" t="s">
        <v>44</v>
      </c>
      <c r="J96" s="1" t="s">
        <v>84</v>
      </c>
      <c r="K96" s="1" t="s">
        <v>47</v>
      </c>
      <c r="L96" s="1">
        <v>10.0</v>
      </c>
      <c r="M96" s="1">
        <v>10.0</v>
      </c>
      <c r="N96" s="1" t="s">
        <v>89</v>
      </c>
    </row>
    <row r="97" ht="15.75" customHeight="1">
      <c r="A97" s="1" t="s">
        <v>157</v>
      </c>
      <c r="B97" s="2">
        <v>45486.0</v>
      </c>
      <c r="C97" s="2">
        <v>45486.0</v>
      </c>
      <c r="D97" s="1" t="s">
        <v>68</v>
      </c>
      <c r="E97" s="1">
        <v>12000.0</v>
      </c>
      <c r="F97" s="1">
        <v>1.0</v>
      </c>
      <c r="G97" s="1" t="s">
        <v>70</v>
      </c>
      <c r="I97" s="1" t="s">
        <v>44</v>
      </c>
      <c r="J97" s="1" t="s">
        <v>45</v>
      </c>
      <c r="K97" s="1" t="s">
        <v>47</v>
      </c>
      <c r="L97" s="1">
        <v>9.23076923076923</v>
      </c>
      <c r="M97" s="1">
        <v>9.23076923076923</v>
      </c>
      <c r="N97" s="1" t="s">
        <v>89</v>
      </c>
    </row>
    <row r="98" ht="15.75" customHeight="1">
      <c r="A98" s="1" t="s">
        <v>158</v>
      </c>
      <c r="B98" s="2">
        <v>45486.0</v>
      </c>
      <c r="C98" s="2">
        <v>45486.0</v>
      </c>
      <c r="D98" s="1" t="s">
        <v>76</v>
      </c>
      <c r="E98" s="1">
        <v>9000.0</v>
      </c>
      <c r="F98" s="1">
        <v>1.0</v>
      </c>
      <c r="G98" s="1" t="s">
        <v>70</v>
      </c>
      <c r="I98" s="1" t="s">
        <v>44</v>
      </c>
      <c r="J98" s="1" t="s">
        <v>45</v>
      </c>
      <c r="K98" s="1" t="s">
        <v>47</v>
      </c>
      <c r="L98" s="1">
        <v>6.923076923076923</v>
      </c>
      <c r="M98" s="1">
        <v>6.923076923076923</v>
      </c>
      <c r="N98" s="1" t="s">
        <v>89</v>
      </c>
    </row>
    <row r="99" ht="15.75" customHeight="1">
      <c r="A99" s="1" t="s">
        <v>159</v>
      </c>
      <c r="B99" s="2">
        <v>45486.0</v>
      </c>
      <c r="C99" s="2">
        <v>45486.0</v>
      </c>
      <c r="D99" s="1" t="s">
        <v>76</v>
      </c>
      <c r="E99" s="1">
        <v>3000.0</v>
      </c>
      <c r="F99" s="1">
        <v>1.0</v>
      </c>
      <c r="G99" s="1" t="s">
        <v>70</v>
      </c>
      <c r="I99" s="1" t="s">
        <v>44</v>
      </c>
      <c r="J99" s="1" t="s">
        <v>45</v>
      </c>
      <c r="K99" s="1" t="s">
        <v>47</v>
      </c>
      <c r="L99" s="1">
        <v>2.3076923076923075</v>
      </c>
      <c r="M99" s="1">
        <v>2.3076923076923075</v>
      </c>
      <c r="N99" s="1" t="s">
        <v>89</v>
      </c>
    </row>
    <row r="100" ht="15.75" customHeight="1">
      <c r="A100" s="1" t="s">
        <v>160</v>
      </c>
      <c r="B100" s="2">
        <v>45486.0</v>
      </c>
      <c r="C100" s="2">
        <v>45486.0</v>
      </c>
      <c r="D100" s="1" t="s">
        <v>68</v>
      </c>
      <c r="E100" s="1">
        <v>18000.0</v>
      </c>
      <c r="F100" s="1">
        <v>1.0</v>
      </c>
      <c r="G100" s="1" t="s">
        <v>70</v>
      </c>
      <c r="I100" s="1" t="s">
        <v>44</v>
      </c>
      <c r="J100" s="1" t="s">
        <v>45</v>
      </c>
      <c r="K100" s="1" t="s">
        <v>47</v>
      </c>
      <c r="L100" s="1">
        <v>13.846153846153847</v>
      </c>
      <c r="M100" s="1">
        <v>13.846153846153847</v>
      </c>
      <c r="N100" s="1" t="s">
        <v>89</v>
      </c>
    </row>
    <row r="101" ht="15.75" customHeight="1">
      <c r="A101" s="1" t="s">
        <v>161</v>
      </c>
      <c r="B101" s="2">
        <v>45487.0</v>
      </c>
      <c r="C101" s="2">
        <v>45487.0</v>
      </c>
      <c r="D101" s="1" t="s">
        <v>68</v>
      </c>
      <c r="E101" s="1">
        <v>3330.0</v>
      </c>
      <c r="F101" s="1">
        <v>3.0</v>
      </c>
      <c r="G101" s="1" t="s">
        <v>70</v>
      </c>
      <c r="I101" s="1" t="s">
        <v>44</v>
      </c>
      <c r="J101" s="1" t="s">
        <v>45</v>
      </c>
      <c r="K101" s="1" t="s">
        <v>47</v>
      </c>
      <c r="L101" s="1">
        <v>2.5615384615384613</v>
      </c>
      <c r="M101" s="1">
        <v>2.5615384615384613</v>
      </c>
      <c r="N101" s="1" t="s">
        <v>89</v>
      </c>
    </row>
    <row r="102" ht="15.75" customHeight="1">
      <c r="A102" s="1" t="s">
        <v>161</v>
      </c>
      <c r="B102" s="2">
        <v>45518.0</v>
      </c>
      <c r="C102" s="2">
        <v>45487.0</v>
      </c>
      <c r="D102" s="1" t="s">
        <v>68</v>
      </c>
      <c r="E102" s="1">
        <v>3330.0</v>
      </c>
      <c r="F102" s="1">
        <v>3.0</v>
      </c>
      <c r="G102" s="1" t="s">
        <v>70</v>
      </c>
      <c r="I102" s="1" t="s">
        <v>44</v>
      </c>
      <c r="J102" s="1" t="s">
        <v>45</v>
      </c>
      <c r="K102" s="1" t="s">
        <v>47</v>
      </c>
      <c r="L102" s="1">
        <v>2.6963562753036436</v>
      </c>
      <c r="M102" s="1">
        <v>2.5615384615384613</v>
      </c>
      <c r="N102" s="1" t="s">
        <v>91</v>
      </c>
    </row>
    <row r="103" ht="15.75" customHeight="1">
      <c r="A103" s="1" t="s">
        <v>161</v>
      </c>
      <c r="B103" s="2">
        <v>45549.0</v>
      </c>
      <c r="C103" s="2">
        <v>45487.0</v>
      </c>
      <c r="D103" s="1" t="s">
        <v>68</v>
      </c>
      <c r="E103" s="1">
        <v>3330.0</v>
      </c>
      <c r="F103" s="1">
        <v>3.0</v>
      </c>
      <c r="G103" s="1" t="s">
        <v>70</v>
      </c>
      <c r="I103" s="1" t="s">
        <v>44</v>
      </c>
      <c r="J103" s="1" t="s">
        <v>45</v>
      </c>
      <c r="K103" s="1" t="s">
        <v>47</v>
      </c>
      <c r="L103" s="1">
        <v>2.7520661157024793</v>
      </c>
      <c r="M103" s="1">
        <v>2.5615384615384613</v>
      </c>
      <c r="N103" s="1" t="s">
        <v>141</v>
      </c>
    </row>
    <row r="104" ht="15.75" customHeight="1">
      <c r="A104" s="1" t="s">
        <v>162</v>
      </c>
      <c r="B104" s="2">
        <v>45487.0</v>
      </c>
      <c r="C104" s="2">
        <v>45487.0</v>
      </c>
      <c r="D104" s="1" t="s">
        <v>73</v>
      </c>
      <c r="E104" s="1">
        <v>7870.0</v>
      </c>
      <c r="F104" s="1">
        <v>3.0</v>
      </c>
      <c r="G104" s="1" t="s">
        <v>70</v>
      </c>
      <c r="I104" s="1" t="s">
        <v>44</v>
      </c>
      <c r="J104" s="1" t="s">
        <v>45</v>
      </c>
      <c r="K104" s="1" t="s">
        <v>47</v>
      </c>
      <c r="L104" s="1">
        <v>6.053846153846154</v>
      </c>
      <c r="M104" s="1">
        <v>6.053846153846154</v>
      </c>
      <c r="N104" s="1" t="s">
        <v>89</v>
      </c>
    </row>
    <row r="105" ht="15.75" customHeight="1">
      <c r="A105" s="1" t="s">
        <v>162</v>
      </c>
      <c r="B105" s="2">
        <v>45518.0</v>
      </c>
      <c r="C105" s="2">
        <v>45487.0</v>
      </c>
      <c r="D105" s="1" t="s">
        <v>73</v>
      </c>
      <c r="E105" s="1">
        <v>7870.0</v>
      </c>
      <c r="F105" s="1">
        <v>3.0</v>
      </c>
      <c r="G105" s="1" t="s">
        <v>70</v>
      </c>
      <c r="I105" s="1" t="s">
        <v>44</v>
      </c>
      <c r="J105" s="1" t="s">
        <v>45</v>
      </c>
      <c r="K105" s="1" t="s">
        <v>47</v>
      </c>
      <c r="L105" s="1">
        <v>6.372469635627531</v>
      </c>
      <c r="M105" s="1">
        <v>6.053846153846154</v>
      </c>
      <c r="N105" s="1" t="s">
        <v>91</v>
      </c>
    </row>
    <row r="106" ht="15.75" customHeight="1">
      <c r="A106" s="1" t="s">
        <v>162</v>
      </c>
      <c r="B106" s="2">
        <v>45549.0</v>
      </c>
      <c r="C106" s="2">
        <v>45487.0</v>
      </c>
      <c r="D106" s="1" t="s">
        <v>73</v>
      </c>
      <c r="E106" s="1">
        <v>7870.0</v>
      </c>
      <c r="F106" s="1">
        <v>3.0</v>
      </c>
      <c r="G106" s="1" t="s">
        <v>70</v>
      </c>
      <c r="I106" s="1" t="s">
        <v>44</v>
      </c>
      <c r="J106" s="1" t="s">
        <v>45</v>
      </c>
      <c r="K106" s="1" t="s">
        <v>47</v>
      </c>
      <c r="L106" s="1">
        <v>6.5041322314049586</v>
      </c>
      <c r="M106" s="1">
        <v>6.053846153846154</v>
      </c>
      <c r="N106" s="1" t="s">
        <v>141</v>
      </c>
    </row>
    <row r="107" ht="15.75" customHeight="1">
      <c r="A107" s="1" t="s">
        <v>163</v>
      </c>
      <c r="B107" s="2">
        <v>45488.0</v>
      </c>
      <c r="C107" s="2">
        <v>45488.0</v>
      </c>
      <c r="D107" s="1" t="s">
        <v>82</v>
      </c>
      <c r="E107" s="1">
        <v>5835.0</v>
      </c>
      <c r="F107" s="1">
        <v>6.0</v>
      </c>
      <c r="G107" s="1" t="s">
        <v>70</v>
      </c>
      <c r="H107" s="1" t="s">
        <v>164</v>
      </c>
      <c r="I107" s="1" t="s">
        <v>44</v>
      </c>
      <c r="J107" s="1" t="s">
        <v>84</v>
      </c>
      <c r="K107" s="1" t="s">
        <v>47</v>
      </c>
      <c r="L107" s="1">
        <v>4.4884615384615385</v>
      </c>
      <c r="M107" s="1">
        <v>4.4884615384615385</v>
      </c>
      <c r="N107" s="1" t="s">
        <v>89</v>
      </c>
    </row>
    <row r="108" ht="15.75" customHeight="1">
      <c r="A108" s="1" t="s">
        <v>163</v>
      </c>
      <c r="B108" s="2">
        <v>45519.0</v>
      </c>
      <c r="C108" s="2">
        <v>45488.0</v>
      </c>
      <c r="D108" s="1" t="s">
        <v>82</v>
      </c>
      <c r="E108" s="1">
        <v>5835.0</v>
      </c>
      <c r="F108" s="1">
        <v>6.0</v>
      </c>
      <c r="G108" s="1" t="s">
        <v>70</v>
      </c>
      <c r="H108" s="1" t="s">
        <v>164</v>
      </c>
      <c r="I108" s="1" t="s">
        <v>44</v>
      </c>
      <c r="J108" s="1" t="s">
        <v>84</v>
      </c>
      <c r="K108" s="1" t="s">
        <v>47</v>
      </c>
      <c r="L108" s="1">
        <v>4.724696356275303</v>
      </c>
      <c r="M108" s="1">
        <v>4.4884615384615385</v>
      </c>
      <c r="N108" s="1" t="s">
        <v>91</v>
      </c>
    </row>
    <row r="109" ht="15.75" customHeight="1">
      <c r="A109" s="1" t="s">
        <v>163</v>
      </c>
      <c r="B109" s="2">
        <v>45550.0</v>
      </c>
      <c r="C109" s="2">
        <v>45488.0</v>
      </c>
      <c r="D109" s="1" t="s">
        <v>82</v>
      </c>
      <c r="E109" s="1">
        <v>5835.0</v>
      </c>
      <c r="F109" s="1">
        <v>6.0</v>
      </c>
      <c r="G109" s="1" t="s">
        <v>70</v>
      </c>
      <c r="H109" s="1" t="s">
        <v>164</v>
      </c>
      <c r="I109" s="1" t="s">
        <v>44</v>
      </c>
      <c r="J109" s="1" t="s">
        <v>84</v>
      </c>
      <c r="K109" s="1" t="s">
        <v>47</v>
      </c>
      <c r="L109" s="1">
        <v>4.822314049586777</v>
      </c>
      <c r="M109" s="1">
        <v>4.4884615384615385</v>
      </c>
      <c r="N109" s="1" t="s">
        <v>141</v>
      </c>
    </row>
    <row r="110" ht="15.75" customHeight="1">
      <c r="A110" s="1" t="s">
        <v>163</v>
      </c>
      <c r="B110" s="2">
        <v>45580.0</v>
      </c>
      <c r="C110" s="2">
        <v>45488.0</v>
      </c>
      <c r="D110" s="1" t="s">
        <v>82</v>
      </c>
      <c r="E110" s="1">
        <v>5835.0</v>
      </c>
      <c r="F110" s="1">
        <v>6.0</v>
      </c>
      <c r="G110" s="1" t="s">
        <v>70</v>
      </c>
      <c r="H110" s="1" t="s">
        <v>164</v>
      </c>
      <c r="I110" s="1" t="s">
        <v>44</v>
      </c>
      <c r="J110" s="1" t="s">
        <v>84</v>
      </c>
      <c r="K110" s="1" t="s">
        <v>47</v>
      </c>
      <c r="L110" s="1">
        <v>5.118421052631579</v>
      </c>
      <c r="M110" s="1">
        <v>4.4884615384615385</v>
      </c>
      <c r="N110" s="1" t="s">
        <v>143</v>
      </c>
    </row>
    <row r="111" ht="15.75" customHeight="1">
      <c r="A111" s="1" t="s">
        <v>163</v>
      </c>
      <c r="B111" s="2">
        <v>45611.0</v>
      </c>
      <c r="C111" s="2">
        <v>45488.0</v>
      </c>
      <c r="D111" s="1" t="s">
        <v>82</v>
      </c>
      <c r="E111" s="1">
        <v>5835.0</v>
      </c>
      <c r="F111" s="1">
        <v>6.0</v>
      </c>
      <c r="G111" s="1" t="s">
        <v>70</v>
      </c>
      <c r="H111" s="1" t="s">
        <v>164</v>
      </c>
      <c r="I111" s="1" t="s">
        <v>44</v>
      </c>
      <c r="J111" s="1" t="s">
        <v>84</v>
      </c>
      <c r="K111" s="1" t="s">
        <v>47</v>
      </c>
      <c r="L111" s="1">
        <v>5.427906976744186</v>
      </c>
      <c r="M111" s="1">
        <v>4.4884615384615385</v>
      </c>
      <c r="N111" s="1" t="s">
        <v>146</v>
      </c>
    </row>
    <row r="112" ht="15.75" customHeight="1">
      <c r="A112" s="1" t="s">
        <v>163</v>
      </c>
      <c r="B112" s="2">
        <v>45641.0</v>
      </c>
      <c r="C112" s="2">
        <v>45488.0</v>
      </c>
      <c r="D112" s="1" t="s">
        <v>82</v>
      </c>
      <c r="E112" s="1">
        <v>5835.0</v>
      </c>
      <c r="F112" s="1">
        <v>6.0</v>
      </c>
      <c r="G112" s="1" t="s">
        <v>70</v>
      </c>
      <c r="H112" s="1" t="s">
        <v>164</v>
      </c>
      <c r="I112" s="1" t="s">
        <v>44</v>
      </c>
      <c r="J112" s="1" t="s">
        <v>84</v>
      </c>
      <c r="K112" s="1" t="s">
        <v>47</v>
      </c>
      <c r="L112" s="1">
        <v>5.073913043478261</v>
      </c>
      <c r="M112" s="1">
        <v>4.4884615384615385</v>
      </c>
      <c r="N112" s="1" t="s">
        <v>196</v>
      </c>
    </row>
    <row r="113" ht="15.75" customHeight="1">
      <c r="A113" s="1" t="s">
        <v>165</v>
      </c>
      <c r="B113" s="2">
        <v>45488.0</v>
      </c>
      <c r="C113" s="2">
        <v>45488.0</v>
      </c>
      <c r="D113" s="1" t="s">
        <v>68</v>
      </c>
      <c r="E113" s="1">
        <v>7000.0</v>
      </c>
      <c r="F113" s="1">
        <v>1.0</v>
      </c>
      <c r="G113" s="1" t="s">
        <v>70</v>
      </c>
      <c r="I113" s="1" t="s">
        <v>44</v>
      </c>
      <c r="J113" s="1" t="s">
        <v>45</v>
      </c>
      <c r="K113" s="1" t="s">
        <v>47</v>
      </c>
      <c r="L113" s="1">
        <v>5.384615384615385</v>
      </c>
      <c r="M113" s="1">
        <v>5.384615384615385</v>
      </c>
      <c r="N113" s="1" t="s">
        <v>89</v>
      </c>
    </row>
    <row r="114" ht="15.75" customHeight="1">
      <c r="A114" s="1" t="s">
        <v>166</v>
      </c>
      <c r="B114" s="2">
        <v>45488.0</v>
      </c>
      <c r="C114" s="2">
        <v>45488.0</v>
      </c>
      <c r="D114" s="1" t="s">
        <v>118</v>
      </c>
      <c r="E114" s="1">
        <v>22250.0</v>
      </c>
      <c r="F114" s="1">
        <v>1.0</v>
      </c>
      <c r="G114" s="1" t="s">
        <v>70</v>
      </c>
      <c r="I114" s="1" t="s">
        <v>44</v>
      </c>
      <c r="J114" s="1" t="s">
        <v>45</v>
      </c>
      <c r="K114" s="1" t="s">
        <v>47</v>
      </c>
      <c r="L114" s="1">
        <v>17.115384615384617</v>
      </c>
      <c r="M114" s="1">
        <v>17.115384615384617</v>
      </c>
      <c r="N114" s="1" t="s">
        <v>89</v>
      </c>
    </row>
    <row r="115" ht="15.75" customHeight="1">
      <c r="A115" s="1" t="s">
        <v>167</v>
      </c>
      <c r="B115" s="2">
        <v>45489.0</v>
      </c>
      <c r="C115" s="2">
        <v>45489.0</v>
      </c>
      <c r="D115" s="1" t="s">
        <v>109</v>
      </c>
      <c r="E115" s="1">
        <v>87000.0</v>
      </c>
      <c r="F115" s="1">
        <v>1.0</v>
      </c>
      <c r="G115" s="1" t="s">
        <v>70</v>
      </c>
      <c r="H115" s="1" t="s">
        <v>168</v>
      </c>
      <c r="I115" s="1" t="s">
        <v>44</v>
      </c>
      <c r="J115" s="1" t="s">
        <v>45</v>
      </c>
      <c r="K115" s="1" t="s">
        <v>47</v>
      </c>
      <c r="L115" s="1">
        <v>66.92307692307692</v>
      </c>
      <c r="M115" s="1">
        <v>66.92307692307692</v>
      </c>
      <c r="N115" s="1" t="s">
        <v>89</v>
      </c>
    </row>
    <row r="116" ht="15.75" customHeight="1">
      <c r="A116" s="1" t="s">
        <v>169</v>
      </c>
      <c r="B116" s="2">
        <v>45490.0</v>
      </c>
      <c r="C116" s="2">
        <v>45490.0</v>
      </c>
      <c r="D116" s="1" t="s">
        <v>68</v>
      </c>
      <c r="E116" s="1">
        <v>7000.0</v>
      </c>
      <c r="F116" s="1">
        <v>3.0</v>
      </c>
      <c r="G116" s="1" t="s">
        <v>70</v>
      </c>
      <c r="H116" s="1" t="s">
        <v>170</v>
      </c>
      <c r="I116" s="1" t="s">
        <v>44</v>
      </c>
      <c r="J116" s="1" t="s">
        <v>45</v>
      </c>
      <c r="K116" s="1" t="s">
        <v>47</v>
      </c>
      <c r="L116" s="1">
        <v>5.384615384615385</v>
      </c>
      <c r="M116" s="1">
        <v>5.384615384615385</v>
      </c>
      <c r="N116" s="1" t="s">
        <v>89</v>
      </c>
    </row>
    <row r="117" ht="15.75" customHeight="1">
      <c r="A117" s="1" t="s">
        <v>169</v>
      </c>
      <c r="B117" s="2">
        <v>45521.0</v>
      </c>
      <c r="C117" s="2">
        <v>45490.0</v>
      </c>
      <c r="D117" s="1" t="s">
        <v>68</v>
      </c>
      <c r="E117" s="1">
        <v>7000.0</v>
      </c>
      <c r="F117" s="1">
        <v>3.0</v>
      </c>
      <c r="G117" s="1" t="s">
        <v>70</v>
      </c>
      <c r="H117" s="1" t="s">
        <v>170</v>
      </c>
      <c r="I117" s="1" t="s">
        <v>44</v>
      </c>
      <c r="J117" s="1" t="s">
        <v>45</v>
      </c>
      <c r="K117" s="1" t="s">
        <v>47</v>
      </c>
      <c r="L117" s="1">
        <v>5.668016194331984</v>
      </c>
      <c r="M117" s="1">
        <v>5.384615384615385</v>
      </c>
      <c r="N117" s="1" t="s">
        <v>91</v>
      </c>
    </row>
    <row r="118" ht="15.75" customHeight="1">
      <c r="A118" s="1" t="s">
        <v>169</v>
      </c>
      <c r="B118" s="2">
        <v>45552.0</v>
      </c>
      <c r="C118" s="2">
        <v>45490.0</v>
      </c>
      <c r="D118" s="1" t="s">
        <v>68</v>
      </c>
      <c r="E118" s="1">
        <v>7000.0</v>
      </c>
      <c r="F118" s="1">
        <v>3.0</v>
      </c>
      <c r="G118" s="1" t="s">
        <v>70</v>
      </c>
      <c r="H118" s="1" t="s">
        <v>170</v>
      </c>
      <c r="I118" s="1" t="s">
        <v>44</v>
      </c>
      <c r="J118" s="1" t="s">
        <v>45</v>
      </c>
      <c r="K118" s="1" t="s">
        <v>47</v>
      </c>
      <c r="L118" s="1">
        <v>5.785123966942149</v>
      </c>
      <c r="M118" s="1">
        <v>5.384615384615385</v>
      </c>
      <c r="N118" s="1" t="s">
        <v>141</v>
      </c>
    </row>
    <row r="119" ht="15.75" customHeight="1">
      <c r="A119" s="1" t="s">
        <v>171</v>
      </c>
      <c r="B119" s="2">
        <v>45490.0</v>
      </c>
      <c r="C119" s="2">
        <v>45490.0</v>
      </c>
      <c r="D119" s="1" t="s">
        <v>82</v>
      </c>
      <c r="E119" s="1">
        <v>14250.0</v>
      </c>
      <c r="F119" s="1">
        <v>6.0</v>
      </c>
      <c r="G119" s="1" t="s">
        <v>70</v>
      </c>
      <c r="H119" s="1" t="s">
        <v>172</v>
      </c>
      <c r="I119" s="1" t="s">
        <v>44</v>
      </c>
      <c r="J119" s="1" t="s">
        <v>84</v>
      </c>
      <c r="K119" s="1" t="s">
        <v>47</v>
      </c>
      <c r="L119" s="1">
        <v>10.961538461538462</v>
      </c>
      <c r="M119" s="1">
        <v>10.961538461538462</v>
      </c>
      <c r="N119" s="1" t="s">
        <v>89</v>
      </c>
    </row>
    <row r="120" ht="15.75" customHeight="1">
      <c r="A120" s="1" t="s">
        <v>171</v>
      </c>
      <c r="B120" s="2">
        <v>45521.0</v>
      </c>
      <c r="C120" s="2">
        <v>45490.0</v>
      </c>
      <c r="D120" s="1" t="s">
        <v>82</v>
      </c>
      <c r="E120" s="1">
        <v>14250.0</v>
      </c>
      <c r="F120" s="1">
        <v>6.0</v>
      </c>
      <c r="G120" s="1" t="s">
        <v>70</v>
      </c>
      <c r="H120" s="1" t="s">
        <v>172</v>
      </c>
      <c r="I120" s="1" t="s">
        <v>44</v>
      </c>
      <c r="J120" s="1" t="s">
        <v>84</v>
      </c>
      <c r="K120" s="1" t="s">
        <v>47</v>
      </c>
      <c r="L120" s="1">
        <v>11.538461538461538</v>
      </c>
      <c r="M120" s="1">
        <v>10.961538461538462</v>
      </c>
      <c r="N120" s="1" t="s">
        <v>91</v>
      </c>
    </row>
    <row r="121" ht="15.75" customHeight="1">
      <c r="A121" s="1" t="s">
        <v>171</v>
      </c>
      <c r="B121" s="2">
        <v>45552.0</v>
      </c>
      <c r="C121" s="2">
        <v>45490.0</v>
      </c>
      <c r="D121" s="1" t="s">
        <v>82</v>
      </c>
      <c r="E121" s="1">
        <v>14250.0</v>
      </c>
      <c r="F121" s="1">
        <v>6.0</v>
      </c>
      <c r="G121" s="1" t="s">
        <v>70</v>
      </c>
      <c r="H121" s="1" t="s">
        <v>172</v>
      </c>
      <c r="I121" s="1" t="s">
        <v>44</v>
      </c>
      <c r="J121" s="1" t="s">
        <v>84</v>
      </c>
      <c r="K121" s="1" t="s">
        <v>47</v>
      </c>
      <c r="L121" s="1">
        <v>11.776859504132231</v>
      </c>
      <c r="M121" s="1">
        <v>10.961538461538462</v>
      </c>
      <c r="N121" s="1" t="s">
        <v>141</v>
      </c>
    </row>
    <row r="122" ht="15.75" customHeight="1">
      <c r="A122" s="1" t="s">
        <v>171</v>
      </c>
      <c r="B122" s="2">
        <v>45582.0</v>
      </c>
      <c r="C122" s="2">
        <v>45490.0</v>
      </c>
      <c r="D122" s="1" t="s">
        <v>82</v>
      </c>
      <c r="E122" s="1">
        <v>14250.0</v>
      </c>
      <c r="F122" s="1">
        <v>6.0</v>
      </c>
      <c r="G122" s="1" t="s">
        <v>70</v>
      </c>
      <c r="H122" s="1" t="s">
        <v>172</v>
      </c>
      <c r="I122" s="1" t="s">
        <v>44</v>
      </c>
      <c r="J122" s="1" t="s">
        <v>84</v>
      </c>
      <c r="K122" s="1" t="s">
        <v>47</v>
      </c>
      <c r="L122" s="1">
        <v>12.5</v>
      </c>
      <c r="M122" s="1">
        <v>10.961538461538462</v>
      </c>
      <c r="N122" s="1" t="s">
        <v>143</v>
      </c>
    </row>
    <row r="123" ht="15.75" customHeight="1">
      <c r="A123" s="1" t="s">
        <v>171</v>
      </c>
      <c r="B123" s="2">
        <v>45613.0</v>
      </c>
      <c r="C123" s="2">
        <v>45490.0</v>
      </c>
      <c r="D123" s="1" t="s">
        <v>82</v>
      </c>
      <c r="E123" s="1">
        <v>14250.0</v>
      </c>
      <c r="F123" s="1">
        <v>6.0</v>
      </c>
      <c r="G123" s="1" t="s">
        <v>70</v>
      </c>
      <c r="H123" s="1" t="s">
        <v>172</v>
      </c>
      <c r="I123" s="1" t="s">
        <v>44</v>
      </c>
      <c r="J123" s="1" t="s">
        <v>84</v>
      </c>
      <c r="K123" s="1" t="s">
        <v>47</v>
      </c>
      <c r="L123" s="1">
        <v>13.255813953488373</v>
      </c>
      <c r="M123" s="1">
        <v>10.961538461538462</v>
      </c>
      <c r="N123" s="1" t="s">
        <v>146</v>
      </c>
    </row>
    <row r="124" ht="15.75" customHeight="1">
      <c r="A124" s="1" t="s">
        <v>171</v>
      </c>
      <c r="B124" s="2">
        <v>45643.0</v>
      </c>
      <c r="C124" s="2">
        <v>45490.0</v>
      </c>
      <c r="D124" s="1" t="s">
        <v>82</v>
      </c>
      <c r="E124" s="1">
        <v>14250.0</v>
      </c>
      <c r="F124" s="1">
        <v>6.0</v>
      </c>
      <c r="G124" s="1" t="s">
        <v>70</v>
      </c>
      <c r="H124" s="1" t="s">
        <v>172</v>
      </c>
      <c r="I124" s="1" t="s">
        <v>44</v>
      </c>
      <c r="J124" s="1" t="s">
        <v>84</v>
      </c>
      <c r="K124" s="1" t="s">
        <v>47</v>
      </c>
      <c r="L124" s="1">
        <v>12.391304347826088</v>
      </c>
      <c r="M124" s="1">
        <v>10.961538461538462</v>
      </c>
      <c r="N124" s="1" t="s">
        <v>196</v>
      </c>
    </row>
    <row r="125" ht="15.75" customHeight="1">
      <c r="A125" s="1" t="s">
        <v>173</v>
      </c>
      <c r="B125" s="2">
        <v>45490.0</v>
      </c>
      <c r="C125" s="2">
        <v>45490.0</v>
      </c>
      <c r="D125" s="1" t="s">
        <v>76</v>
      </c>
      <c r="E125" s="1">
        <v>12000.0</v>
      </c>
      <c r="F125" s="1">
        <v>1.0</v>
      </c>
      <c r="G125" s="1" t="s">
        <v>70</v>
      </c>
      <c r="I125" s="1" t="s">
        <v>44</v>
      </c>
      <c r="J125" s="1" t="s">
        <v>45</v>
      </c>
      <c r="K125" s="1" t="s">
        <v>47</v>
      </c>
      <c r="L125" s="1">
        <v>9.23076923076923</v>
      </c>
      <c r="M125" s="1">
        <v>9.23076923076923</v>
      </c>
      <c r="N125" s="1" t="s">
        <v>89</v>
      </c>
    </row>
    <row r="126" ht="15.75" customHeight="1">
      <c r="A126" s="1" t="s">
        <v>174</v>
      </c>
      <c r="B126" s="2">
        <v>45491.0</v>
      </c>
      <c r="C126" s="2">
        <v>45491.0</v>
      </c>
      <c r="D126" s="1" t="s">
        <v>76</v>
      </c>
      <c r="E126" s="1">
        <v>4000.0</v>
      </c>
      <c r="F126" s="1">
        <v>1.0</v>
      </c>
      <c r="G126" s="1" t="s">
        <v>70</v>
      </c>
      <c r="I126" s="1" t="s">
        <v>44</v>
      </c>
      <c r="J126" s="1" t="s">
        <v>45</v>
      </c>
      <c r="K126" s="1" t="s">
        <v>47</v>
      </c>
      <c r="L126" s="1">
        <v>3.076923076923077</v>
      </c>
      <c r="M126" s="1">
        <v>3.076923076923077</v>
      </c>
      <c r="N126" s="1" t="s">
        <v>89</v>
      </c>
    </row>
    <row r="127" ht="15.75" customHeight="1">
      <c r="A127" s="1" t="s">
        <v>175</v>
      </c>
      <c r="B127" s="2">
        <v>45491.0</v>
      </c>
      <c r="C127" s="2">
        <v>45491.0</v>
      </c>
      <c r="D127" s="1" t="s">
        <v>73</v>
      </c>
      <c r="E127" s="1">
        <v>32770.0</v>
      </c>
      <c r="F127" s="1">
        <v>3.0</v>
      </c>
      <c r="G127" s="1" t="s">
        <v>70</v>
      </c>
      <c r="I127" s="1" t="s">
        <v>44</v>
      </c>
      <c r="J127" s="1" t="s">
        <v>45</v>
      </c>
      <c r="K127" s="1" t="s">
        <v>47</v>
      </c>
      <c r="L127" s="1">
        <v>25.20769230769231</v>
      </c>
      <c r="M127" s="1">
        <v>25.20769230769231</v>
      </c>
      <c r="N127" s="1" t="s">
        <v>89</v>
      </c>
    </row>
    <row r="128" ht="15.75" customHeight="1">
      <c r="A128" s="1" t="s">
        <v>175</v>
      </c>
      <c r="B128" s="2">
        <v>45522.0</v>
      </c>
      <c r="C128" s="2">
        <v>45491.0</v>
      </c>
      <c r="D128" s="1" t="s">
        <v>73</v>
      </c>
      <c r="E128" s="1">
        <v>32770.0</v>
      </c>
      <c r="F128" s="1">
        <v>3.0</v>
      </c>
      <c r="G128" s="1" t="s">
        <v>70</v>
      </c>
      <c r="I128" s="1" t="s">
        <v>44</v>
      </c>
      <c r="J128" s="1" t="s">
        <v>45</v>
      </c>
      <c r="K128" s="1" t="s">
        <v>47</v>
      </c>
      <c r="L128" s="1">
        <v>26.534412955465587</v>
      </c>
      <c r="M128" s="1">
        <v>25.20769230769231</v>
      </c>
      <c r="N128" s="1" t="s">
        <v>91</v>
      </c>
    </row>
    <row r="129" ht="15.75" customHeight="1">
      <c r="A129" s="1" t="s">
        <v>175</v>
      </c>
      <c r="B129" s="2">
        <v>45553.0</v>
      </c>
      <c r="C129" s="2">
        <v>45491.0</v>
      </c>
      <c r="D129" s="1" t="s">
        <v>73</v>
      </c>
      <c r="E129" s="1">
        <v>32770.0</v>
      </c>
      <c r="F129" s="1">
        <v>3.0</v>
      </c>
      <c r="G129" s="1" t="s">
        <v>70</v>
      </c>
      <c r="I129" s="1" t="s">
        <v>44</v>
      </c>
      <c r="J129" s="1" t="s">
        <v>45</v>
      </c>
      <c r="K129" s="1" t="s">
        <v>47</v>
      </c>
      <c r="L129" s="1">
        <v>27.082644628099175</v>
      </c>
      <c r="M129" s="1">
        <v>25.20769230769231</v>
      </c>
      <c r="N129" s="1" t="s">
        <v>141</v>
      </c>
    </row>
    <row r="130" ht="15.75" customHeight="1">
      <c r="A130" s="1" t="s">
        <v>176</v>
      </c>
      <c r="B130" s="2">
        <v>45492.0</v>
      </c>
      <c r="C130" s="2">
        <v>45492.0</v>
      </c>
      <c r="D130" s="1" t="s">
        <v>68</v>
      </c>
      <c r="E130" s="1">
        <v>50000.0</v>
      </c>
      <c r="F130" s="1">
        <v>1.0</v>
      </c>
      <c r="G130" s="1" t="s">
        <v>70</v>
      </c>
      <c r="I130" s="1" t="s">
        <v>44</v>
      </c>
      <c r="J130" s="1" t="s">
        <v>45</v>
      </c>
      <c r="K130" s="1" t="s">
        <v>47</v>
      </c>
      <c r="L130" s="1">
        <v>38.46153846153846</v>
      </c>
      <c r="M130" s="1">
        <v>38.46153846153846</v>
      </c>
      <c r="N130" s="1" t="s">
        <v>89</v>
      </c>
    </row>
    <row r="131" ht="15.75" customHeight="1">
      <c r="A131" s="1" t="s">
        <v>177</v>
      </c>
      <c r="B131" s="2">
        <v>45493.0</v>
      </c>
      <c r="C131" s="2">
        <v>45493.0</v>
      </c>
      <c r="D131" s="1" t="s">
        <v>82</v>
      </c>
      <c r="E131" s="1">
        <v>8164.999999999999</v>
      </c>
      <c r="F131" s="1">
        <v>6.0</v>
      </c>
      <c r="G131" s="1" t="s">
        <v>70</v>
      </c>
      <c r="H131" s="1" t="s">
        <v>178</v>
      </c>
      <c r="I131" s="1" t="s">
        <v>44</v>
      </c>
      <c r="J131" s="1" t="s">
        <v>84</v>
      </c>
      <c r="K131" s="1" t="s">
        <v>47</v>
      </c>
      <c r="L131" s="1">
        <v>6.28076923076923</v>
      </c>
      <c r="M131" s="1">
        <v>6.28076923076923</v>
      </c>
      <c r="N131" s="1" t="s">
        <v>89</v>
      </c>
    </row>
    <row r="132" ht="15.75" customHeight="1">
      <c r="A132" s="1" t="s">
        <v>177</v>
      </c>
      <c r="B132" s="2">
        <v>45524.0</v>
      </c>
      <c r="C132" s="2">
        <v>45493.0</v>
      </c>
      <c r="D132" s="1" t="s">
        <v>82</v>
      </c>
      <c r="E132" s="1">
        <v>8164.999999999999</v>
      </c>
      <c r="F132" s="1">
        <v>6.0</v>
      </c>
      <c r="G132" s="1" t="s">
        <v>70</v>
      </c>
      <c r="H132" s="1" t="s">
        <v>178</v>
      </c>
      <c r="I132" s="1" t="s">
        <v>44</v>
      </c>
      <c r="J132" s="1" t="s">
        <v>84</v>
      </c>
      <c r="K132" s="1" t="s">
        <v>47</v>
      </c>
      <c r="L132" s="1">
        <v>6.611336032388663</v>
      </c>
      <c r="M132" s="1">
        <v>6.28076923076923</v>
      </c>
      <c r="N132" s="1" t="s">
        <v>91</v>
      </c>
    </row>
    <row r="133" ht="15.75" customHeight="1">
      <c r="A133" s="1" t="s">
        <v>177</v>
      </c>
      <c r="B133" s="2">
        <v>45555.0</v>
      </c>
      <c r="C133" s="2">
        <v>45493.0</v>
      </c>
      <c r="D133" s="1" t="s">
        <v>82</v>
      </c>
      <c r="E133" s="1">
        <v>8164.999999999999</v>
      </c>
      <c r="F133" s="1">
        <v>6.0</v>
      </c>
      <c r="G133" s="1" t="s">
        <v>70</v>
      </c>
      <c r="H133" s="1" t="s">
        <v>178</v>
      </c>
      <c r="I133" s="1" t="s">
        <v>44</v>
      </c>
      <c r="J133" s="1" t="s">
        <v>84</v>
      </c>
      <c r="K133" s="1" t="s">
        <v>47</v>
      </c>
      <c r="L133" s="1">
        <v>6.74793388429752</v>
      </c>
      <c r="M133" s="1">
        <v>6.28076923076923</v>
      </c>
      <c r="N133" s="1" t="s">
        <v>141</v>
      </c>
    </row>
    <row r="134" ht="15.75" customHeight="1">
      <c r="A134" s="1" t="s">
        <v>177</v>
      </c>
      <c r="B134" s="2">
        <v>45585.0</v>
      </c>
      <c r="C134" s="2">
        <v>45493.0</v>
      </c>
      <c r="D134" s="1" t="s">
        <v>82</v>
      </c>
      <c r="E134" s="1">
        <v>8164.999999999999</v>
      </c>
      <c r="F134" s="1">
        <v>6.0</v>
      </c>
      <c r="G134" s="1" t="s">
        <v>70</v>
      </c>
      <c r="H134" s="1" t="s">
        <v>178</v>
      </c>
      <c r="I134" s="1" t="s">
        <v>44</v>
      </c>
      <c r="J134" s="1" t="s">
        <v>84</v>
      </c>
      <c r="K134" s="1" t="s">
        <v>47</v>
      </c>
      <c r="L134" s="1">
        <v>7.162280701754385</v>
      </c>
      <c r="M134" s="1">
        <v>6.28076923076923</v>
      </c>
      <c r="N134" s="1" t="s">
        <v>143</v>
      </c>
    </row>
    <row r="135" ht="15.75" customHeight="1">
      <c r="A135" s="1" t="s">
        <v>177</v>
      </c>
      <c r="B135" s="2">
        <v>45616.0</v>
      </c>
      <c r="C135" s="2">
        <v>45493.0</v>
      </c>
      <c r="D135" s="1" t="s">
        <v>82</v>
      </c>
      <c r="E135" s="1">
        <v>8164.999999999999</v>
      </c>
      <c r="F135" s="1">
        <v>6.0</v>
      </c>
      <c r="G135" s="1" t="s">
        <v>70</v>
      </c>
      <c r="H135" s="1" t="s">
        <v>178</v>
      </c>
      <c r="I135" s="1" t="s">
        <v>44</v>
      </c>
      <c r="J135" s="1" t="s">
        <v>84</v>
      </c>
      <c r="K135" s="1" t="s">
        <v>47</v>
      </c>
      <c r="L135" s="1">
        <v>7.595348837209301</v>
      </c>
      <c r="M135" s="1">
        <v>6.28076923076923</v>
      </c>
      <c r="N135" s="1" t="s">
        <v>146</v>
      </c>
    </row>
    <row r="136" ht="15.75" customHeight="1">
      <c r="A136" s="1" t="s">
        <v>177</v>
      </c>
      <c r="B136" s="2">
        <v>45646.0</v>
      </c>
      <c r="C136" s="2">
        <v>45493.0</v>
      </c>
      <c r="D136" s="1" t="s">
        <v>82</v>
      </c>
      <c r="E136" s="1">
        <v>8164.999999999999</v>
      </c>
      <c r="F136" s="1">
        <v>6.0</v>
      </c>
      <c r="G136" s="1" t="s">
        <v>70</v>
      </c>
      <c r="H136" s="1" t="s">
        <v>178</v>
      </c>
      <c r="I136" s="1" t="s">
        <v>44</v>
      </c>
      <c r="J136" s="1" t="s">
        <v>84</v>
      </c>
      <c r="K136" s="1" t="s">
        <v>47</v>
      </c>
      <c r="L136" s="1">
        <v>7.1</v>
      </c>
      <c r="M136" s="1">
        <v>6.28076923076923</v>
      </c>
      <c r="N136" s="1" t="s">
        <v>196</v>
      </c>
    </row>
    <row r="137" ht="15.75" customHeight="1">
      <c r="A137" s="1" t="s">
        <v>179</v>
      </c>
      <c r="B137" s="2">
        <v>45493.0</v>
      </c>
      <c r="C137" s="2">
        <v>45493.0</v>
      </c>
      <c r="D137" s="1" t="s">
        <v>68</v>
      </c>
      <c r="E137" s="1">
        <v>14000.0</v>
      </c>
      <c r="F137" s="1">
        <v>1.0</v>
      </c>
      <c r="G137" s="1" t="s">
        <v>70</v>
      </c>
      <c r="I137" s="1" t="s">
        <v>44</v>
      </c>
      <c r="J137" s="1" t="s">
        <v>45</v>
      </c>
      <c r="K137" s="1" t="s">
        <v>47</v>
      </c>
      <c r="L137" s="1">
        <v>10.76923076923077</v>
      </c>
      <c r="M137" s="1">
        <v>10.76923076923077</v>
      </c>
      <c r="N137" s="1" t="s">
        <v>89</v>
      </c>
    </row>
    <row r="138" ht="15.75" customHeight="1">
      <c r="A138" s="1" t="s">
        <v>180</v>
      </c>
      <c r="B138" s="2">
        <v>45494.0</v>
      </c>
      <c r="C138" s="2">
        <v>45494.0</v>
      </c>
      <c r="D138" s="1" t="s">
        <v>109</v>
      </c>
      <c r="E138" s="1">
        <v>64000.0</v>
      </c>
      <c r="F138" s="1">
        <v>1.0</v>
      </c>
      <c r="G138" s="1" t="s">
        <v>70</v>
      </c>
      <c r="H138" s="1" t="s">
        <v>110</v>
      </c>
      <c r="I138" s="1" t="s">
        <v>44</v>
      </c>
      <c r="J138" s="1" t="s">
        <v>45</v>
      </c>
      <c r="K138" s="1" t="s">
        <v>47</v>
      </c>
      <c r="L138" s="1">
        <v>49.23076923076923</v>
      </c>
      <c r="M138" s="1">
        <v>49.23076923076923</v>
      </c>
      <c r="N138" s="1" t="s">
        <v>89</v>
      </c>
    </row>
    <row r="139" ht="15.75" customHeight="1">
      <c r="A139" s="1" t="s">
        <v>181</v>
      </c>
      <c r="B139" s="2">
        <v>45494.0</v>
      </c>
      <c r="C139" s="2">
        <v>45494.0</v>
      </c>
      <c r="D139" s="1" t="s">
        <v>76</v>
      </c>
      <c r="E139" s="1">
        <v>17000.0</v>
      </c>
      <c r="F139" s="1">
        <v>1.0</v>
      </c>
      <c r="G139" s="1" t="s">
        <v>70</v>
      </c>
      <c r="I139" s="1" t="s">
        <v>44</v>
      </c>
      <c r="J139" s="1" t="s">
        <v>45</v>
      </c>
      <c r="K139" s="1" t="s">
        <v>47</v>
      </c>
      <c r="L139" s="1">
        <v>13.076923076923077</v>
      </c>
      <c r="M139" s="1">
        <v>13.076923076923077</v>
      </c>
      <c r="N139" s="1" t="s">
        <v>89</v>
      </c>
    </row>
    <row r="140" ht="15.75" customHeight="1">
      <c r="A140" s="1" t="s">
        <v>182</v>
      </c>
      <c r="B140" s="2">
        <v>45495.0</v>
      </c>
      <c r="C140" s="2">
        <v>45495.0</v>
      </c>
      <c r="D140" s="1" t="s">
        <v>68</v>
      </c>
      <c r="E140" s="1">
        <v>4000.0</v>
      </c>
      <c r="F140" s="1">
        <v>1.0</v>
      </c>
      <c r="G140" s="1" t="s">
        <v>70</v>
      </c>
      <c r="I140" s="1" t="s">
        <v>44</v>
      </c>
      <c r="J140" s="1" t="s">
        <v>45</v>
      </c>
      <c r="K140" s="1" t="s">
        <v>47</v>
      </c>
      <c r="L140" s="1">
        <v>3.076923076923077</v>
      </c>
      <c r="M140" s="1">
        <v>3.076923076923077</v>
      </c>
      <c r="N140" s="1" t="s">
        <v>89</v>
      </c>
    </row>
    <row r="141" ht="15.75" customHeight="1">
      <c r="A141" s="1" t="s">
        <v>183</v>
      </c>
      <c r="B141" s="2">
        <v>45495.0</v>
      </c>
      <c r="C141" s="2">
        <v>45495.0</v>
      </c>
      <c r="D141" s="1" t="s">
        <v>76</v>
      </c>
      <c r="E141" s="1">
        <v>26000.0</v>
      </c>
      <c r="F141" s="1">
        <v>1.0</v>
      </c>
      <c r="G141" s="1" t="s">
        <v>70</v>
      </c>
      <c r="I141" s="1" t="s">
        <v>44</v>
      </c>
      <c r="J141" s="1" t="s">
        <v>45</v>
      </c>
      <c r="K141" s="1" t="s">
        <v>47</v>
      </c>
      <c r="L141" s="1">
        <v>20.0</v>
      </c>
      <c r="M141" s="1">
        <v>20.0</v>
      </c>
      <c r="N141" s="1" t="s">
        <v>89</v>
      </c>
    </row>
    <row r="142" ht="15.75" customHeight="1">
      <c r="A142" s="1" t="s">
        <v>184</v>
      </c>
      <c r="B142" s="2">
        <v>45496.0</v>
      </c>
      <c r="C142" s="2">
        <v>45496.0</v>
      </c>
      <c r="D142" s="1" t="s">
        <v>76</v>
      </c>
      <c r="E142" s="1">
        <v>12000.0</v>
      </c>
      <c r="F142" s="1">
        <v>1.0</v>
      </c>
      <c r="G142" s="1" t="s">
        <v>70</v>
      </c>
      <c r="I142" s="1" t="s">
        <v>44</v>
      </c>
      <c r="J142" s="1" t="s">
        <v>45</v>
      </c>
      <c r="K142" s="1" t="s">
        <v>47</v>
      </c>
      <c r="L142" s="1">
        <v>9.23076923076923</v>
      </c>
      <c r="M142" s="1">
        <v>9.23076923076923</v>
      </c>
      <c r="N142" s="1" t="s">
        <v>89</v>
      </c>
    </row>
    <row r="143" ht="15.75" customHeight="1">
      <c r="A143" s="1" t="s">
        <v>185</v>
      </c>
      <c r="B143" s="2">
        <v>45497.0</v>
      </c>
      <c r="C143" s="2">
        <v>45497.0</v>
      </c>
      <c r="D143" s="1" t="s">
        <v>76</v>
      </c>
      <c r="E143" s="1">
        <v>8100.0</v>
      </c>
      <c r="F143" s="1">
        <v>1.0</v>
      </c>
      <c r="G143" s="1" t="s">
        <v>70</v>
      </c>
      <c r="I143" s="1" t="s">
        <v>44</v>
      </c>
      <c r="J143" s="1" t="s">
        <v>45</v>
      </c>
      <c r="K143" s="1" t="s">
        <v>47</v>
      </c>
      <c r="L143" s="1">
        <v>6.230769230769231</v>
      </c>
      <c r="M143" s="1">
        <v>6.230769230769231</v>
      </c>
      <c r="N143" s="1" t="s">
        <v>89</v>
      </c>
    </row>
    <row r="144" ht="15.75" customHeight="1">
      <c r="A144" s="1" t="s">
        <v>186</v>
      </c>
      <c r="B144" s="2">
        <v>45498.0</v>
      </c>
      <c r="C144" s="2">
        <v>45498.0</v>
      </c>
      <c r="D144" s="1" t="s">
        <v>76</v>
      </c>
      <c r="E144" s="1">
        <v>4000.0</v>
      </c>
      <c r="F144" s="1">
        <v>1.0</v>
      </c>
      <c r="G144" s="1" t="s">
        <v>70</v>
      </c>
      <c r="I144" s="1" t="s">
        <v>44</v>
      </c>
      <c r="J144" s="1" t="s">
        <v>45</v>
      </c>
      <c r="K144" s="1" t="s">
        <v>47</v>
      </c>
      <c r="L144" s="1">
        <v>3.076923076923077</v>
      </c>
      <c r="M144" s="1">
        <v>3.076923076923077</v>
      </c>
      <c r="N144" s="1" t="s">
        <v>89</v>
      </c>
    </row>
    <row r="145" ht="15.75" customHeight="1">
      <c r="A145" s="1" t="s">
        <v>187</v>
      </c>
      <c r="B145" s="2">
        <v>45498.0</v>
      </c>
      <c r="C145" s="2">
        <v>45498.0</v>
      </c>
      <c r="D145" s="1" t="s">
        <v>68</v>
      </c>
      <c r="E145" s="1">
        <v>4330.0</v>
      </c>
      <c r="F145" s="1">
        <v>3.0</v>
      </c>
      <c r="G145" s="1" t="s">
        <v>70</v>
      </c>
      <c r="I145" s="1" t="s">
        <v>44</v>
      </c>
      <c r="J145" s="1" t="s">
        <v>45</v>
      </c>
      <c r="K145" s="1" t="s">
        <v>47</v>
      </c>
      <c r="L145" s="1">
        <v>3.330769230769231</v>
      </c>
      <c r="M145" s="1">
        <v>3.330769230769231</v>
      </c>
      <c r="N145" s="1" t="s">
        <v>89</v>
      </c>
    </row>
    <row r="146" ht="15.75" customHeight="1">
      <c r="A146" s="1" t="s">
        <v>187</v>
      </c>
      <c r="B146" s="2">
        <v>45529.0</v>
      </c>
      <c r="C146" s="2">
        <v>45498.0</v>
      </c>
      <c r="D146" s="1" t="s">
        <v>68</v>
      </c>
      <c r="E146" s="1">
        <v>4330.0</v>
      </c>
      <c r="F146" s="1">
        <v>3.0</v>
      </c>
      <c r="G146" s="1" t="s">
        <v>70</v>
      </c>
      <c r="I146" s="1" t="s">
        <v>44</v>
      </c>
      <c r="J146" s="1" t="s">
        <v>45</v>
      </c>
      <c r="K146" s="1" t="s">
        <v>47</v>
      </c>
      <c r="L146" s="1">
        <v>3.506072874493927</v>
      </c>
      <c r="M146" s="1">
        <v>3.330769230769231</v>
      </c>
      <c r="N146" s="1" t="s">
        <v>91</v>
      </c>
    </row>
    <row r="147" ht="15.75" customHeight="1">
      <c r="A147" s="1" t="s">
        <v>187</v>
      </c>
      <c r="B147" s="2">
        <v>45560.0</v>
      </c>
      <c r="C147" s="2">
        <v>45498.0</v>
      </c>
      <c r="D147" s="1" t="s">
        <v>68</v>
      </c>
      <c r="E147" s="1">
        <v>4330.0</v>
      </c>
      <c r="F147" s="1">
        <v>3.0</v>
      </c>
      <c r="G147" s="1" t="s">
        <v>70</v>
      </c>
      <c r="I147" s="1" t="s">
        <v>44</v>
      </c>
      <c r="J147" s="1" t="s">
        <v>45</v>
      </c>
      <c r="K147" s="1" t="s">
        <v>47</v>
      </c>
      <c r="L147" s="1">
        <v>3.5785123966942147</v>
      </c>
      <c r="M147" s="1">
        <v>3.330769230769231</v>
      </c>
      <c r="N147" s="1" t="s">
        <v>141</v>
      </c>
    </row>
    <row r="148" ht="15.75" customHeight="1">
      <c r="A148" s="1" t="s">
        <v>188</v>
      </c>
      <c r="B148" s="2">
        <v>45499.0</v>
      </c>
      <c r="C148" s="2">
        <v>45499.0</v>
      </c>
      <c r="D148" s="1" t="s">
        <v>68</v>
      </c>
      <c r="E148" s="1">
        <v>15000.0</v>
      </c>
      <c r="F148" s="1">
        <v>1.0</v>
      </c>
      <c r="G148" s="1" t="s">
        <v>70</v>
      </c>
      <c r="I148" s="1" t="s">
        <v>44</v>
      </c>
      <c r="J148" s="1" t="s">
        <v>45</v>
      </c>
      <c r="K148" s="1" t="s">
        <v>47</v>
      </c>
      <c r="L148" s="1">
        <v>11.538461538461538</v>
      </c>
      <c r="M148" s="1">
        <v>11.538461538461538</v>
      </c>
      <c r="N148" s="1" t="s">
        <v>89</v>
      </c>
    </row>
    <row r="149" ht="15.75" customHeight="1">
      <c r="A149" s="1" t="s">
        <v>189</v>
      </c>
      <c r="B149" s="2">
        <v>45500.0</v>
      </c>
      <c r="C149" s="2">
        <v>45500.0</v>
      </c>
      <c r="D149" s="1" t="s">
        <v>82</v>
      </c>
      <c r="E149" s="1">
        <v>5835.0</v>
      </c>
      <c r="F149" s="1">
        <v>6.0</v>
      </c>
      <c r="G149" s="1" t="s">
        <v>70</v>
      </c>
      <c r="H149" s="1" t="s">
        <v>190</v>
      </c>
      <c r="I149" s="1" t="s">
        <v>44</v>
      </c>
      <c r="J149" s="1" t="s">
        <v>84</v>
      </c>
      <c r="K149" s="1" t="s">
        <v>47</v>
      </c>
      <c r="L149" s="1">
        <v>4.4884615384615385</v>
      </c>
      <c r="M149" s="1">
        <v>4.4884615384615385</v>
      </c>
      <c r="N149" s="1" t="s">
        <v>89</v>
      </c>
    </row>
    <row r="150" ht="15.75" customHeight="1">
      <c r="A150" s="1" t="s">
        <v>189</v>
      </c>
      <c r="B150" s="2">
        <v>45531.0</v>
      </c>
      <c r="C150" s="2">
        <v>45500.0</v>
      </c>
      <c r="D150" s="1" t="s">
        <v>82</v>
      </c>
      <c r="E150" s="1">
        <v>5835.0</v>
      </c>
      <c r="F150" s="1">
        <v>6.0</v>
      </c>
      <c r="G150" s="1" t="s">
        <v>70</v>
      </c>
      <c r="H150" s="1" t="s">
        <v>190</v>
      </c>
      <c r="I150" s="1" t="s">
        <v>44</v>
      </c>
      <c r="J150" s="1" t="s">
        <v>84</v>
      </c>
      <c r="K150" s="1" t="s">
        <v>47</v>
      </c>
      <c r="L150" s="1">
        <v>4.724696356275303</v>
      </c>
      <c r="M150" s="1">
        <v>4.4884615384615385</v>
      </c>
      <c r="N150" s="1" t="s">
        <v>91</v>
      </c>
    </row>
    <row r="151" ht="15.75" customHeight="1">
      <c r="A151" s="1" t="s">
        <v>189</v>
      </c>
      <c r="B151" s="2">
        <v>45562.0</v>
      </c>
      <c r="C151" s="2">
        <v>45500.0</v>
      </c>
      <c r="D151" s="1" t="s">
        <v>82</v>
      </c>
      <c r="E151" s="1">
        <v>5835.0</v>
      </c>
      <c r="F151" s="1">
        <v>6.0</v>
      </c>
      <c r="G151" s="1" t="s">
        <v>70</v>
      </c>
      <c r="H151" s="1" t="s">
        <v>190</v>
      </c>
      <c r="I151" s="1" t="s">
        <v>44</v>
      </c>
      <c r="J151" s="1" t="s">
        <v>84</v>
      </c>
      <c r="K151" s="1" t="s">
        <v>47</v>
      </c>
      <c r="L151" s="1">
        <v>4.822314049586777</v>
      </c>
      <c r="M151" s="1">
        <v>4.4884615384615385</v>
      </c>
      <c r="N151" s="1" t="s">
        <v>141</v>
      </c>
    </row>
    <row r="152" ht="15.75" customHeight="1">
      <c r="A152" s="1" t="s">
        <v>189</v>
      </c>
      <c r="B152" s="2">
        <v>45592.0</v>
      </c>
      <c r="C152" s="2">
        <v>45500.0</v>
      </c>
      <c r="D152" s="1" t="s">
        <v>82</v>
      </c>
      <c r="E152" s="1">
        <v>5835.0</v>
      </c>
      <c r="F152" s="1">
        <v>6.0</v>
      </c>
      <c r="G152" s="1" t="s">
        <v>70</v>
      </c>
      <c r="H152" s="1" t="s">
        <v>190</v>
      </c>
      <c r="I152" s="1" t="s">
        <v>44</v>
      </c>
      <c r="J152" s="1" t="s">
        <v>84</v>
      </c>
      <c r="K152" s="1" t="s">
        <v>47</v>
      </c>
      <c r="L152" s="1">
        <v>5.118421052631579</v>
      </c>
      <c r="M152" s="1">
        <v>4.4884615384615385</v>
      </c>
      <c r="N152" s="1" t="s">
        <v>143</v>
      </c>
    </row>
    <row r="153" ht="15.75" customHeight="1">
      <c r="A153" s="1" t="s">
        <v>189</v>
      </c>
      <c r="B153" s="2">
        <v>45623.0</v>
      </c>
      <c r="C153" s="2">
        <v>45500.0</v>
      </c>
      <c r="D153" s="1" t="s">
        <v>82</v>
      </c>
      <c r="E153" s="1">
        <v>5835.0</v>
      </c>
      <c r="F153" s="1">
        <v>6.0</v>
      </c>
      <c r="G153" s="1" t="s">
        <v>70</v>
      </c>
      <c r="H153" s="1" t="s">
        <v>190</v>
      </c>
      <c r="I153" s="1" t="s">
        <v>44</v>
      </c>
      <c r="J153" s="1" t="s">
        <v>84</v>
      </c>
      <c r="K153" s="1" t="s">
        <v>47</v>
      </c>
      <c r="L153" s="1">
        <v>5.427906976744186</v>
      </c>
      <c r="M153" s="1">
        <v>4.4884615384615385</v>
      </c>
      <c r="N153" s="1" t="s">
        <v>146</v>
      </c>
    </row>
    <row r="154" ht="15.75" customHeight="1">
      <c r="A154" s="1" t="s">
        <v>189</v>
      </c>
      <c r="B154" s="2">
        <v>45653.0</v>
      </c>
      <c r="C154" s="2">
        <v>45500.0</v>
      </c>
      <c r="D154" s="1" t="s">
        <v>82</v>
      </c>
      <c r="E154" s="1">
        <v>5835.0</v>
      </c>
      <c r="F154" s="1">
        <v>6.0</v>
      </c>
      <c r="G154" s="1" t="s">
        <v>70</v>
      </c>
      <c r="H154" s="1" t="s">
        <v>190</v>
      </c>
      <c r="I154" s="1" t="s">
        <v>44</v>
      </c>
      <c r="J154" s="1" t="s">
        <v>84</v>
      </c>
      <c r="K154" s="1" t="s">
        <v>47</v>
      </c>
      <c r="L154" s="1">
        <v>5.073913043478261</v>
      </c>
      <c r="M154" s="1">
        <v>4.4884615384615385</v>
      </c>
      <c r="N154" s="1" t="s">
        <v>196</v>
      </c>
    </row>
    <row r="155" ht="15.75" customHeight="1">
      <c r="A155" s="1" t="s">
        <v>191</v>
      </c>
      <c r="B155" s="2">
        <v>45500.0</v>
      </c>
      <c r="C155" s="2">
        <v>45500.0</v>
      </c>
      <c r="D155" s="1" t="s">
        <v>68</v>
      </c>
      <c r="E155" s="1">
        <v>15000.0</v>
      </c>
      <c r="F155" s="1">
        <v>1.0</v>
      </c>
      <c r="G155" s="1" t="s">
        <v>70</v>
      </c>
      <c r="I155" s="1" t="s">
        <v>44</v>
      </c>
      <c r="J155" s="1" t="s">
        <v>45</v>
      </c>
      <c r="K155" s="1" t="s">
        <v>47</v>
      </c>
      <c r="L155" s="1">
        <v>11.538461538461538</v>
      </c>
      <c r="M155" s="1">
        <v>11.538461538461538</v>
      </c>
      <c r="N155" s="1" t="s">
        <v>89</v>
      </c>
    </row>
    <row r="156" ht="15.75" customHeight="1">
      <c r="A156" s="1">
        <v>6.7937924E7</v>
      </c>
      <c r="B156" s="2">
        <v>45500.0</v>
      </c>
      <c r="C156" s="2">
        <v>45500.0</v>
      </c>
      <c r="D156" s="1" t="s">
        <v>76</v>
      </c>
      <c r="E156" s="1">
        <v>36000.0</v>
      </c>
      <c r="F156" s="1">
        <v>1.0</v>
      </c>
      <c r="G156" s="1" t="s">
        <v>70</v>
      </c>
      <c r="I156" s="1" t="s">
        <v>44</v>
      </c>
      <c r="J156" s="1" t="s">
        <v>45</v>
      </c>
      <c r="K156" s="1" t="s">
        <v>47</v>
      </c>
      <c r="L156" s="1">
        <v>27.692307692307693</v>
      </c>
      <c r="M156" s="1">
        <v>27.692307692307693</v>
      </c>
      <c r="N156" s="1" t="s">
        <v>89</v>
      </c>
    </row>
    <row r="157" ht="15.75" customHeight="1">
      <c r="A157" s="1" t="s">
        <v>192</v>
      </c>
      <c r="B157" s="2">
        <v>45500.0</v>
      </c>
      <c r="C157" s="2">
        <v>45500.0</v>
      </c>
      <c r="D157" s="1" t="s">
        <v>73</v>
      </c>
      <c r="E157" s="1">
        <v>8670.0</v>
      </c>
      <c r="F157" s="1">
        <v>3.0</v>
      </c>
      <c r="G157" s="1" t="s">
        <v>70</v>
      </c>
      <c r="I157" s="1" t="s">
        <v>44</v>
      </c>
      <c r="J157" s="1" t="s">
        <v>45</v>
      </c>
      <c r="K157" s="1" t="s">
        <v>47</v>
      </c>
      <c r="L157" s="1">
        <v>6.6692307692307695</v>
      </c>
      <c r="M157" s="1">
        <v>6.6692307692307695</v>
      </c>
      <c r="N157" s="1" t="s">
        <v>89</v>
      </c>
    </row>
    <row r="158" ht="15.75" customHeight="1">
      <c r="A158" s="1" t="s">
        <v>192</v>
      </c>
      <c r="B158" s="2">
        <v>45531.0</v>
      </c>
      <c r="C158" s="2">
        <v>45500.0</v>
      </c>
      <c r="D158" s="1" t="s">
        <v>73</v>
      </c>
      <c r="E158" s="1">
        <v>8670.0</v>
      </c>
      <c r="F158" s="1">
        <v>3.0</v>
      </c>
      <c r="G158" s="1" t="s">
        <v>70</v>
      </c>
      <c r="I158" s="1" t="s">
        <v>44</v>
      </c>
      <c r="J158" s="1" t="s">
        <v>45</v>
      </c>
      <c r="K158" s="1" t="s">
        <v>47</v>
      </c>
      <c r="L158" s="1">
        <v>7.020242914979757</v>
      </c>
      <c r="M158" s="1">
        <v>6.6692307692307695</v>
      </c>
      <c r="N158" s="1" t="s">
        <v>91</v>
      </c>
    </row>
    <row r="159" ht="15.75" customHeight="1">
      <c r="A159" s="1" t="s">
        <v>192</v>
      </c>
      <c r="B159" s="2">
        <v>45562.0</v>
      </c>
      <c r="C159" s="2">
        <v>45500.0</v>
      </c>
      <c r="D159" s="1" t="s">
        <v>73</v>
      </c>
      <c r="E159" s="1">
        <v>8670.0</v>
      </c>
      <c r="F159" s="1">
        <v>3.0</v>
      </c>
      <c r="G159" s="1" t="s">
        <v>70</v>
      </c>
      <c r="I159" s="1" t="s">
        <v>44</v>
      </c>
      <c r="J159" s="1" t="s">
        <v>45</v>
      </c>
      <c r="K159" s="1" t="s">
        <v>47</v>
      </c>
      <c r="L159" s="1">
        <v>7.1652892561983474</v>
      </c>
      <c r="M159" s="1">
        <v>6.6692307692307695</v>
      </c>
      <c r="N159" s="1" t="s">
        <v>141</v>
      </c>
    </row>
    <row r="160" ht="15.75" customHeight="1">
      <c r="A160" s="1" t="s">
        <v>193</v>
      </c>
      <c r="B160" s="2">
        <v>45501.0</v>
      </c>
      <c r="C160" s="2">
        <v>45501.0</v>
      </c>
      <c r="D160" s="1" t="s">
        <v>109</v>
      </c>
      <c r="E160" s="1">
        <v>2000.0</v>
      </c>
      <c r="F160" s="1">
        <v>6.0</v>
      </c>
      <c r="G160" s="1" t="s">
        <v>70</v>
      </c>
      <c r="H160" s="1" t="s">
        <v>194</v>
      </c>
      <c r="I160" s="1" t="s">
        <v>44</v>
      </c>
      <c r="J160" s="1" t="s">
        <v>45</v>
      </c>
      <c r="K160" s="1" t="s">
        <v>47</v>
      </c>
      <c r="L160" s="1">
        <v>1.5384615384615385</v>
      </c>
      <c r="M160" s="1">
        <v>1.5384615384615385</v>
      </c>
      <c r="N160" s="1" t="s">
        <v>89</v>
      </c>
    </row>
    <row r="161" ht="15.75" customHeight="1">
      <c r="A161" s="1" t="s">
        <v>193</v>
      </c>
      <c r="B161" s="2">
        <v>45532.0</v>
      </c>
      <c r="C161" s="2">
        <v>45501.0</v>
      </c>
      <c r="D161" s="1" t="s">
        <v>109</v>
      </c>
      <c r="E161" s="1">
        <v>2000.0</v>
      </c>
      <c r="F161" s="1">
        <v>6.0</v>
      </c>
      <c r="G161" s="1" t="s">
        <v>70</v>
      </c>
      <c r="H161" s="1" t="s">
        <v>194</v>
      </c>
      <c r="I161" s="1" t="s">
        <v>44</v>
      </c>
      <c r="J161" s="1" t="s">
        <v>45</v>
      </c>
      <c r="K161" s="1" t="s">
        <v>47</v>
      </c>
      <c r="L161" s="1">
        <v>1.6194331983805668</v>
      </c>
      <c r="M161" s="1">
        <v>1.5384615384615385</v>
      </c>
      <c r="N161" s="1" t="s">
        <v>91</v>
      </c>
    </row>
    <row r="162" ht="15.75" customHeight="1">
      <c r="A162" s="1" t="s">
        <v>193</v>
      </c>
      <c r="B162" s="2">
        <v>45563.0</v>
      </c>
      <c r="C162" s="2">
        <v>45501.0</v>
      </c>
      <c r="D162" s="1" t="s">
        <v>109</v>
      </c>
      <c r="E162" s="1">
        <v>2000.0</v>
      </c>
      <c r="F162" s="1">
        <v>6.0</v>
      </c>
      <c r="G162" s="1" t="s">
        <v>70</v>
      </c>
      <c r="H162" s="1" t="s">
        <v>194</v>
      </c>
      <c r="I162" s="1" t="s">
        <v>44</v>
      </c>
      <c r="J162" s="1" t="s">
        <v>45</v>
      </c>
      <c r="K162" s="1" t="s">
        <v>47</v>
      </c>
      <c r="L162" s="1">
        <v>1.6528925619834711</v>
      </c>
      <c r="M162" s="1">
        <v>1.5384615384615385</v>
      </c>
      <c r="N162" s="1" t="s">
        <v>141</v>
      </c>
    </row>
    <row r="163" ht="15.75" customHeight="1">
      <c r="A163" s="1" t="s">
        <v>193</v>
      </c>
      <c r="B163" s="2">
        <v>45593.0</v>
      </c>
      <c r="C163" s="2">
        <v>45501.0</v>
      </c>
      <c r="D163" s="1" t="s">
        <v>109</v>
      </c>
      <c r="E163" s="1">
        <v>2000.0</v>
      </c>
      <c r="F163" s="1">
        <v>6.0</v>
      </c>
      <c r="G163" s="1" t="s">
        <v>70</v>
      </c>
      <c r="H163" s="1" t="s">
        <v>194</v>
      </c>
      <c r="I163" s="1" t="s">
        <v>44</v>
      </c>
      <c r="J163" s="1" t="s">
        <v>45</v>
      </c>
      <c r="K163" s="1" t="s">
        <v>47</v>
      </c>
      <c r="L163" s="1">
        <v>1.7543859649122806</v>
      </c>
      <c r="M163" s="1">
        <v>1.5384615384615385</v>
      </c>
      <c r="N163" s="1" t="s">
        <v>143</v>
      </c>
    </row>
    <row r="164" ht="15.75" customHeight="1">
      <c r="A164" s="1" t="s">
        <v>193</v>
      </c>
      <c r="B164" s="2">
        <v>45624.0</v>
      </c>
      <c r="C164" s="2">
        <v>45501.0</v>
      </c>
      <c r="D164" s="1" t="s">
        <v>109</v>
      </c>
      <c r="E164" s="1">
        <v>2000.0</v>
      </c>
      <c r="F164" s="1">
        <v>6.0</v>
      </c>
      <c r="G164" s="1" t="s">
        <v>70</v>
      </c>
      <c r="H164" s="1" t="s">
        <v>194</v>
      </c>
      <c r="I164" s="1" t="s">
        <v>44</v>
      </c>
      <c r="J164" s="1" t="s">
        <v>45</v>
      </c>
      <c r="K164" s="1" t="s">
        <v>47</v>
      </c>
      <c r="L164" s="1">
        <v>1.8604651162790697</v>
      </c>
      <c r="M164" s="1">
        <v>1.5384615384615385</v>
      </c>
      <c r="N164" s="1" t="s">
        <v>146</v>
      </c>
    </row>
    <row r="165" ht="15.75" customHeight="1">
      <c r="A165" s="1" t="s">
        <v>193</v>
      </c>
      <c r="B165" s="2">
        <v>45654.0</v>
      </c>
      <c r="C165" s="2">
        <v>45501.0</v>
      </c>
      <c r="D165" s="1" t="s">
        <v>109</v>
      </c>
      <c r="E165" s="1">
        <v>2000.0</v>
      </c>
      <c r="F165" s="1">
        <v>6.0</v>
      </c>
      <c r="G165" s="1" t="s">
        <v>70</v>
      </c>
      <c r="H165" s="1" t="s">
        <v>194</v>
      </c>
      <c r="I165" s="1" t="s">
        <v>44</v>
      </c>
      <c r="J165" s="1" t="s">
        <v>45</v>
      </c>
      <c r="K165" s="1" t="s">
        <v>47</v>
      </c>
      <c r="L165" s="1">
        <v>1.7391304347826086</v>
      </c>
      <c r="M165" s="1">
        <v>1.5384615384615385</v>
      </c>
      <c r="N165" s="1" t="s">
        <v>196</v>
      </c>
    </row>
    <row r="166" ht="15.75" customHeight="1">
      <c r="A166" s="1" t="s">
        <v>195</v>
      </c>
      <c r="B166" s="2">
        <v>45501.0</v>
      </c>
      <c r="C166" s="2">
        <v>45501.0</v>
      </c>
      <c r="D166" s="1" t="s">
        <v>73</v>
      </c>
      <c r="E166" s="1">
        <v>5770.0</v>
      </c>
      <c r="F166" s="1">
        <v>3.0</v>
      </c>
      <c r="G166" s="1" t="s">
        <v>70</v>
      </c>
      <c r="I166" s="1" t="s">
        <v>44</v>
      </c>
      <c r="J166" s="1" t="s">
        <v>45</v>
      </c>
      <c r="K166" s="1" t="s">
        <v>47</v>
      </c>
      <c r="L166" s="1">
        <v>4.438461538461539</v>
      </c>
      <c r="M166" s="1">
        <v>4.438461538461539</v>
      </c>
      <c r="N166" s="1" t="s">
        <v>89</v>
      </c>
    </row>
    <row r="167" ht="15.75" customHeight="1">
      <c r="A167" s="1" t="s">
        <v>195</v>
      </c>
      <c r="B167" s="2">
        <v>45532.0</v>
      </c>
      <c r="C167" s="2">
        <v>45501.0</v>
      </c>
      <c r="D167" s="1" t="s">
        <v>73</v>
      </c>
      <c r="E167" s="1">
        <v>5770.0</v>
      </c>
      <c r="F167" s="1">
        <v>3.0</v>
      </c>
      <c r="G167" s="1" t="s">
        <v>70</v>
      </c>
      <c r="I167" s="1" t="s">
        <v>44</v>
      </c>
      <c r="J167" s="1" t="s">
        <v>45</v>
      </c>
      <c r="K167" s="1" t="s">
        <v>47</v>
      </c>
      <c r="L167" s="1">
        <v>4.672064777327935</v>
      </c>
      <c r="M167" s="1">
        <v>4.438461538461539</v>
      </c>
      <c r="N167" s="1" t="s">
        <v>91</v>
      </c>
    </row>
    <row r="168" ht="15.75" customHeight="1">
      <c r="A168" s="1" t="s">
        <v>195</v>
      </c>
      <c r="B168" s="2">
        <v>45563.0</v>
      </c>
      <c r="C168" s="2">
        <v>45501.0</v>
      </c>
      <c r="D168" s="1" t="s">
        <v>73</v>
      </c>
      <c r="E168" s="1">
        <v>5770.0</v>
      </c>
      <c r="F168" s="1">
        <v>3.0</v>
      </c>
      <c r="G168" s="1" t="s">
        <v>70</v>
      </c>
      <c r="I168" s="1" t="s">
        <v>44</v>
      </c>
      <c r="J168" s="1" t="s">
        <v>45</v>
      </c>
      <c r="K168" s="1" t="s">
        <v>47</v>
      </c>
      <c r="L168" s="1">
        <v>4.768595041322314</v>
      </c>
      <c r="M168" s="1">
        <v>4.438461538461539</v>
      </c>
      <c r="N168" s="1" t="s">
        <v>141</v>
      </c>
    </row>
    <row r="169" ht="15.75" customHeight="1">
      <c r="A169" s="1" t="s">
        <v>197</v>
      </c>
      <c r="B169" s="2">
        <v>45502.0</v>
      </c>
      <c r="C169" s="2">
        <v>45502.0</v>
      </c>
      <c r="D169" s="1" t="s">
        <v>82</v>
      </c>
      <c r="E169" s="1">
        <v>9000.0</v>
      </c>
      <c r="F169" s="1">
        <v>1.0</v>
      </c>
      <c r="G169" s="1" t="s">
        <v>70</v>
      </c>
      <c r="I169" s="1" t="s">
        <v>44</v>
      </c>
      <c r="J169" s="1" t="s">
        <v>84</v>
      </c>
      <c r="K169" s="1" t="s">
        <v>47</v>
      </c>
      <c r="L169" s="1">
        <v>6.923076923076923</v>
      </c>
      <c r="M169" s="1">
        <v>6.923076923076923</v>
      </c>
      <c r="N169" s="1" t="s">
        <v>89</v>
      </c>
    </row>
    <row r="170" ht="15.75" customHeight="1">
      <c r="A170" s="1" t="s">
        <v>198</v>
      </c>
      <c r="B170" s="2">
        <v>45502.0</v>
      </c>
      <c r="C170" s="2">
        <v>45502.0</v>
      </c>
      <c r="D170" s="1" t="s">
        <v>73</v>
      </c>
      <c r="E170" s="1">
        <v>46000.0</v>
      </c>
      <c r="F170" s="1">
        <v>1.0</v>
      </c>
      <c r="G170" s="1" t="s">
        <v>70</v>
      </c>
      <c r="I170" s="1" t="s">
        <v>44</v>
      </c>
      <c r="J170" s="1" t="s">
        <v>45</v>
      </c>
      <c r="K170" s="1" t="s">
        <v>47</v>
      </c>
      <c r="L170" s="1">
        <v>35.38461538461539</v>
      </c>
      <c r="M170" s="1">
        <v>35.38461538461539</v>
      </c>
      <c r="N170" s="1" t="s">
        <v>89</v>
      </c>
    </row>
    <row r="171" ht="15.75" customHeight="1">
      <c r="A171" s="1" t="s">
        <v>199</v>
      </c>
      <c r="B171" s="2">
        <v>45502.0</v>
      </c>
      <c r="C171" s="2">
        <v>45502.0</v>
      </c>
      <c r="D171" s="1" t="s">
        <v>68</v>
      </c>
      <c r="E171" s="1">
        <v>4000.0</v>
      </c>
      <c r="F171" s="1">
        <v>1.0</v>
      </c>
      <c r="G171" s="1" t="s">
        <v>70</v>
      </c>
      <c r="I171" s="1" t="s">
        <v>44</v>
      </c>
      <c r="J171" s="1" t="s">
        <v>45</v>
      </c>
      <c r="K171" s="1" t="s">
        <v>47</v>
      </c>
      <c r="L171" s="1">
        <v>3.076923076923077</v>
      </c>
      <c r="M171" s="1">
        <v>3.076923076923077</v>
      </c>
      <c r="N171" s="1" t="s">
        <v>89</v>
      </c>
    </row>
    <row r="172" ht="15.75" customHeight="1">
      <c r="A172" s="1">
        <v>4.5731286E7</v>
      </c>
      <c r="B172" s="2">
        <v>45503.0</v>
      </c>
      <c r="C172" s="2">
        <v>45503.0</v>
      </c>
      <c r="D172" s="1" t="s">
        <v>109</v>
      </c>
      <c r="E172" s="1">
        <v>23750.0</v>
      </c>
      <c r="F172" s="1">
        <v>6.0</v>
      </c>
      <c r="G172" s="1" t="s">
        <v>70</v>
      </c>
      <c r="H172" s="1" t="s">
        <v>200</v>
      </c>
      <c r="I172" s="1" t="s">
        <v>44</v>
      </c>
      <c r="J172" s="1" t="s">
        <v>45</v>
      </c>
      <c r="K172" s="1" t="s">
        <v>47</v>
      </c>
      <c r="L172" s="1">
        <v>18.26923076923077</v>
      </c>
      <c r="M172" s="1">
        <v>18.26923076923077</v>
      </c>
      <c r="N172" s="1" t="s">
        <v>89</v>
      </c>
    </row>
    <row r="173" ht="15.75" customHeight="1">
      <c r="A173" s="1">
        <v>4.5731286E7</v>
      </c>
      <c r="B173" s="2">
        <v>45534.0</v>
      </c>
      <c r="C173" s="2">
        <v>45503.0</v>
      </c>
      <c r="D173" s="1" t="s">
        <v>109</v>
      </c>
      <c r="E173" s="1">
        <v>23750.0</v>
      </c>
      <c r="F173" s="1">
        <v>6.0</v>
      </c>
      <c r="G173" s="1" t="s">
        <v>70</v>
      </c>
      <c r="H173" s="1" t="s">
        <v>200</v>
      </c>
      <c r="I173" s="1" t="s">
        <v>44</v>
      </c>
      <c r="J173" s="1" t="s">
        <v>45</v>
      </c>
      <c r="K173" s="1" t="s">
        <v>47</v>
      </c>
      <c r="L173" s="1">
        <v>19.23076923076923</v>
      </c>
      <c r="M173" s="1">
        <v>18.26923076923077</v>
      </c>
      <c r="N173" s="1" t="s">
        <v>91</v>
      </c>
    </row>
    <row r="174" ht="15.75" customHeight="1">
      <c r="A174" s="1">
        <v>4.5731286E7</v>
      </c>
      <c r="B174" s="2">
        <v>45565.0</v>
      </c>
      <c r="C174" s="2">
        <v>45503.0</v>
      </c>
      <c r="D174" s="1" t="s">
        <v>109</v>
      </c>
      <c r="E174" s="1">
        <v>23750.0</v>
      </c>
      <c r="F174" s="1">
        <v>6.0</v>
      </c>
      <c r="G174" s="1" t="s">
        <v>70</v>
      </c>
      <c r="H174" s="1" t="s">
        <v>200</v>
      </c>
      <c r="I174" s="1" t="s">
        <v>44</v>
      </c>
      <c r="J174" s="1" t="s">
        <v>45</v>
      </c>
      <c r="K174" s="1" t="s">
        <v>47</v>
      </c>
      <c r="L174" s="1">
        <v>19.628099173553718</v>
      </c>
      <c r="M174" s="1">
        <v>18.26923076923077</v>
      </c>
      <c r="N174" s="1" t="s">
        <v>141</v>
      </c>
    </row>
    <row r="175" ht="15.75" customHeight="1">
      <c r="A175" s="1">
        <v>4.5731286E7</v>
      </c>
      <c r="B175" s="2">
        <v>45595.0</v>
      </c>
      <c r="C175" s="2">
        <v>45503.0</v>
      </c>
      <c r="D175" s="1" t="s">
        <v>109</v>
      </c>
      <c r="E175" s="1">
        <v>23750.0</v>
      </c>
      <c r="F175" s="1">
        <v>6.0</v>
      </c>
      <c r="G175" s="1" t="s">
        <v>70</v>
      </c>
      <c r="H175" s="1" t="s">
        <v>200</v>
      </c>
      <c r="I175" s="1" t="s">
        <v>44</v>
      </c>
      <c r="J175" s="1" t="s">
        <v>45</v>
      </c>
      <c r="K175" s="1" t="s">
        <v>47</v>
      </c>
      <c r="L175" s="1">
        <v>20.833333333333332</v>
      </c>
      <c r="M175" s="1">
        <v>18.26923076923077</v>
      </c>
      <c r="N175" s="1" t="s">
        <v>143</v>
      </c>
    </row>
    <row r="176" ht="15.75" customHeight="1">
      <c r="A176" s="1">
        <v>4.5731286E7</v>
      </c>
      <c r="B176" s="2">
        <v>45626.0</v>
      </c>
      <c r="C176" s="2">
        <v>45503.0</v>
      </c>
      <c r="D176" s="1" t="s">
        <v>109</v>
      </c>
      <c r="E176" s="1">
        <v>23750.0</v>
      </c>
      <c r="F176" s="1">
        <v>6.0</v>
      </c>
      <c r="G176" s="1" t="s">
        <v>70</v>
      </c>
      <c r="H176" s="1" t="s">
        <v>200</v>
      </c>
      <c r="I176" s="1" t="s">
        <v>44</v>
      </c>
      <c r="J176" s="1" t="s">
        <v>45</v>
      </c>
      <c r="K176" s="1" t="s">
        <v>47</v>
      </c>
      <c r="L176" s="1">
        <v>22.093023255813954</v>
      </c>
      <c r="M176" s="1">
        <v>18.26923076923077</v>
      </c>
      <c r="N176" s="1" t="s">
        <v>146</v>
      </c>
    </row>
    <row r="177" ht="15.75" customHeight="1">
      <c r="A177" s="1">
        <v>4.5731286E7</v>
      </c>
      <c r="B177" s="2">
        <v>45656.0</v>
      </c>
      <c r="C177" s="2">
        <v>45503.0</v>
      </c>
      <c r="D177" s="1" t="s">
        <v>109</v>
      </c>
      <c r="E177" s="1">
        <v>23750.0</v>
      </c>
      <c r="F177" s="1">
        <v>6.0</v>
      </c>
      <c r="G177" s="1" t="s">
        <v>70</v>
      </c>
      <c r="H177" s="1" t="s">
        <v>200</v>
      </c>
      <c r="I177" s="1" t="s">
        <v>44</v>
      </c>
      <c r="J177" s="1" t="s">
        <v>45</v>
      </c>
      <c r="K177" s="1" t="s">
        <v>47</v>
      </c>
      <c r="L177" s="1">
        <v>20.652173913043477</v>
      </c>
      <c r="M177" s="1">
        <v>18.26923076923077</v>
      </c>
      <c r="N177" s="1" t="s">
        <v>196</v>
      </c>
    </row>
    <row r="178" ht="15.75" customHeight="1">
      <c r="A178" s="1" t="s">
        <v>201</v>
      </c>
      <c r="B178" s="2">
        <v>45503.0</v>
      </c>
      <c r="C178" s="2">
        <v>45503.0</v>
      </c>
      <c r="D178" s="1" t="s">
        <v>76</v>
      </c>
      <c r="E178" s="1">
        <v>10000.0</v>
      </c>
      <c r="F178" s="1">
        <v>1.0</v>
      </c>
      <c r="G178" s="1" t="s">
        <v>70</v>
      </c>
      <c r="I178" s="1" t="s">
        <v>44</v>
      </c>
      <c r="J178" s="1" t="s">
        <v>45</v>
      </c>
      <c r="K178" s="1" t="s">
        <v>47</v>
      </c>
      <c r="L178" s="1">
        <v>7.6923076923076925</v>
      </c>
      <c r="M178" s="1">
        <v>7.6923076923076925</v>
      </c>
      <c r="N178" s="1" t="s">
        <v>89</v>
      </c>
    </row>
    <row r="179" ht="15.75" customHeight="1">
      <c r="A179" s="1" t="s">
        <v>202</v>
      </c>
      <c r="B179" s="2">
        <v>45503.0</v>
      </c>
      <c r="C179" s="2">
        <v>45503.0</v>
      </c>
      <c r="D179" s="1" t="s">
        <v>68</v>
      </c>
      <c r="E179" s="1">
        <v>8600.0</v>
      </c>
      <c r="F179" s="1">
        <v>1.0</v>
      </c>
      <c r="G179" s="1" t="s">
        <v>70</v>
      </c>
      <c r="I179" s="1" t="s">
        <v>44</v>
      </c>
      <c r="J179" s="1" t="s">
        <v>45</v>
      </c>
      <c r="K179" s="1" t="s">
        <v>47</v>
      </c>
      <c r="L179" s="1">
        <v>6.615384615384615</v>
      </c>
      <c r="M179" s="1">
        <v>6.615384615384615</v>
      </c>
      <c r="N179" s="1" t="s">
        <v>89</v>
      </c>
    </row>
    <row r="180" ht="15.75" customHeight="1">
      <c r="A180" s="1" t="s">
        <v>203</v>
      </c>
      <c r="B180" s="2">
        <v>45504.0</v>
      </c>
      <c r="C180" s="2">
        <v>45504.0</v>
      </c>
      <c r="D180" s="1" t="s">
        <v>73</v>
      </c>
      <c r="E180" s="1">
        <v>6670.0</v>
      </c>
      <c r="F180" s="1">
        <v>3.0</v>
      </c>
      <c r="G180" s="1" t="s">
        <v>70</v>
      </c>
      <c r="I180" s="1" t="s">
        <v>44</v>
      </c>
      <c r="J180" s="1" t="s">
        <v>45</v>
      </c>
      <c r="K180" s="1" t="s">
        <v>47</v>
      </c>
      <c r="L180" s="1">
        <v>5.130769230769231</v>
      </c>
      <c r="M180" s="1">
        <v>5.130769230769231</v>
      </c>
      <c r="N180" s="1" t="s">
        <v>89</v>
      </c>
    </row>
    <row r="181" ht="15.75" customHeight="1">
      <c r="A181" s="1" t="s">
        <v>203</v>
      </c>
      <c r="B181" s="2">
        <v>45535.0</v>
      </c>
      <c r="C181" s="2">
        <v>45504.0</v>
      </c>
      <c r="D181" s="1" t="s">
        <v>73</v>
      </c>
      <c r="E181" s="1">
        <v>6670.0</v>
      </c>
      <c r="F181" s="1">
        <v>3.0</v>
      </c>
      <c r="G181" s="1" t="s">
        <v>70</v>
      </c>
      <c r="I181" s="1" t="s">
        <v>44</v>
      </c>
      <c r="J181" s="1" t="s">
        <v>45</v>
      </c>
      <c r="K181" s="1" t="s">
        <v>47</v>
      </c>
      <c r="L181" s="1">
        <v>5.40080971659919</v>
      </c>
      <c r="M181" s="1">
        <v>5.130769230769231</v>
      </c>
      <c r="N181" s="1" t="s">
        <v>91</v>
      </c>
    </row>
    <row r="182" ht="15.75" customHeight="1">
      <c r="A182" s="1" t="s">
        <v>203</v>
      </c>
      <c r="B182" s="2">
        <v>45566.0</v>
      </c>
      <c r="C182" s="2">
        <v>45504.0</v>
      </c>
      <c r="D182" s="1" t="s">
        <v>73</v>
      </c>
      <c r="E182" s="1">
        <v>6670.0</v>
      </c>
      <c r="F182" s="1">
        <v>3.0</v>
      </c>
      <c r="G182" s="1" t="s">
        <v>70</v>
      </c>
      <c r="I182" s="1" t="s">
        <v>44</v>
      </c>
      <c r="J182" s="1" t="s">
        <v>45</v>
      </c>
      <c r="K182" s="1" t="s">
        <v>47</v>
      </c>
      <c r="L182" s="1">
        <v>5.850877192982456</v>
      </c>
      <c r="M182" s="1">
        <v>5.130769230769231</v>
      </c>
      <c r="N182" s="1" t="s">
        <v>143</v>
      </c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65</v>
      </c>
    </row>
    <row r="2">
      <c r="A2" s="1" t="s">
        <v>208</v>
      </c>
      <c r="B2" s="1" t="s">
        <v>68</v>
      </c>
      <c r="C2" s="1" t="s">
        <v>209</v>
      </c>
      <c r="D2" s="1" t="s">
        <v>210</v>
      </c>
      <c r="E2" s="1" t="s">
        <v>211</v>
      </c>
    </row>
    <row r="3">
      <c r="A3" s="1" t="s">
        <v>212</v>
      </c>
      <c r="B3" s="1" t="s">
        <v>82</v>
      </c>
      <c r="C3" s="1" t="s">
        <v>213</v>
      </c>
      <c r="D3" s="1" t="s">
        <v>210</v>
      </c>
      <c r="E3" s="1" t="s">
        <v>211</v>
      </c>
    </row>
    <row r="4">
      <c r="A4" s="1" t="s">
        <v>214</v>
      </c>
      <c r="B4" s="1" t="s">
        <v>109</v>
      </c>
      <c r="C4" s="1" t="s">
        <v>215</v>
      </c>
      <c r="D4" s="1" t="s">
        <v>210</v>
      </c>
      <c r="E4" s="1" t="s">
        <v>211</v>
      </c>
    </row>
    <row r="5">
      <c r="A5" s="1" t="s">
        <v>216</v>
      </c>
      <c r="B5" s="1" t="s">
        <v>217</v>
      </c>
      <c r="C5" s="1" t="s">
        <v>218</v>
      </c>
      <c r="D5" s="1" t="s">
        <v>210</v>
      </c>
      <c r="E5" s="1" t="s">
        <v>211</v>
      </c>
    </row>
    <row r="6">
      <c r="A6" s="1" t="s">
        <v>219</v>
      </c>
      <c r="B6" s="1" t="s">
        <v>118</v>
      </c>
      <c r="C6" s="1" t="s">
        <v>220</v>
      </c>
      <c r="D6" s="1" t="s">
        <v>210</v>
      </c>
      <c r="E6" s="1" t="s">
        <v>211</v>
      </c>
    </row>
    <row r="7">
      <c r="A7" s="1" t="s">
        <v>76</v>
      </c>
      <c r="B7" s="1" t="s">
        <v>76</v>
      </c>
      <c r="C7" s="1" t="s">
        <v>221</v>
      </c>
      <c r="D7" s="1" t="s">
        <v>210</v>
      </c>
      <c r="E7" s="1" t="s">
        <v>211</v>
      </c>
    </row>
    <row r="8">
      <c r="A8" s="1" t="s">
        <v>222</v>
      </c>
      <c r="B8" s="1" t="s">
        <v>223</v>
      </c>
      <c r="C8" s="1" t="s">
        <v>224</v>
      </c>
      <c r="D8" s="1" t="s">
        <v>210</v>
      </c>
      <c r="E8" s="1" t="s">
        <v>211</v>
      </c>
    </row>
    <row r="9">
      <c r="A9" s="1" t="s">
        <v>225</v>
      </c>
      <c r="B9" s="1" t="s">
        <v>226</v>
      </c>
      <c r="C9" s="1" t="s">
        <v>227</v>
      </c>
      <c r="D9" s="1" t="s">
        <v>210</v>
      </c>
      <c r="E9" s="1" t="s">
        <v>211</v>
      </c>
    </row>
    <row r="10">
      <c r="A10" s="1" t="s">
        <v>228</v>
      </c>
      <c r="B10" s="1" t="s">
        <v>73</v>
      </c>
      <c r="C10" s="1" t="s">
        <v>229</v>
      </c>
      <c r="D10" s="1" t="s">
        <v>210</v>
      </c>
      <c r="E10" s="1" t="s">
        <v>211</v>
      </c>
    </row>
    <row r="11">
      <c r="A11" s="1" t="s">
        <v>230</v>
      </c>
      <c r="B11" s="1" t="s">
        <v>231</v>
      </c>
      <c r="C11" s="1" t="s">
        <v>232</v>
      </c>
      <c r="D11" s="1" t="s">
        <v>210</v>
      </c>
      <c r="E11" s="1" t="s">
        <v>211</v>
      </c>
    </row>
    <row r="12">
      <c r="A12" s="1" t="s">
        <v>233</v>
      </c>
      <c r="B12" s="1" t="s">
        <v>40</v>
      </c>
      <c r="C12" s="1" t="s">
        <v>234</v>
      </c>
      <c r="D12" s="1" t="s">
        <v>210</v>
      </c>
      <c r="E12" s="1" t="s">
        <v>211</v>
      </c>
    </row>
    <row r="13">
      <c r="A13" s="1" t="s">
        <v>235</v>
      </c>
      <c r="B13" s="1" t="s">
        <v>236</v>
      </c>
      <c r="C13" s="1" t="s">
        <v>237</v>
      </c>
      <c r="D13" s="1" t="s">
        <v>210</v>
      </c>
      <c r="E13" s="1" t="s">
        <v>61</v>
      </c>
    </row>
    <row r="14">
      <c r="A14" s="1" t="s">
        <v>238</v>
      </c>
      <c r="B14" s="1" t="s">
        <v>58</v>
      </c>
      <c r="C14" s="1" t="s">
        <v>239</v>
      </c>
      <c r="D14" s="1" t="s">
        <v>66</v>
      </c>
      <c r="E14" s="1" t="s">
        <v>211</v>
      </c>
    </row>
    <row r="15">
      <c r="A15" s="1" t="s">
        <v>240</v>
      </c>
      <c r="B15" s="1" t="s">
        <v>241</v>
      </c>
      <c r="C15" s="1" t="s">
        <v>242</v>
      </c>
      <c r="D15" s="1" t="s">
        <v>66</v>
      </c>
      <c r="E15" s="1" t="s">
        <v>61</v>
      </c>
    </row>
    <row r="16">
      <c r="A16" s="1" t="s">
        <v>243</v>
      </c>
      <c r="B16" s="1" t="s">
        <v>244</v>
      </c>
      <c r="C16" s="1" t="s">
        <v>245</v>
      </c>
      <c r="D16" s="1" t="s">
        <v>66</v>
      </c>
      <c r="E16" s="1" t="s">
        <v>61</v>
      </c>
    </row>
    <row r="17">
      <c r="A17" s="1" t="s">
        <v>246</v>
      </c>
      <c r="B17" s="1" t="s">
        <v>247</v>
      </c>
      <c r="C17" s="1" t="s">
        <v>248</v>
      </c>
      <c r="D17" s="1" t="s">
        <v>66</v>
      </c>
      <c r="E17" s="1" t="s">
        <v>211</v>
      </c>
    </row>
    <row r="18">
      <c r="A18" s="1" t="s">
        <v>249</v>
      </c>
      <c r="B18" s="1" t="s">
        <v>250</v>
      </c>
      <c r="C18" s="1" t="s">
        <v>251</v>
      </c>
      <c r="D18" s="1" t="s">
        <v>210</v>
      </c>
      <c r="E18" s="1" t="s">
        <v>211</v>
      </c>
    </row>
    <row r="19">
      <c r="A19" s="1" t="s">
        <v>252</v>
      </c>
      <c r="B19" s="1" t="s">
        <v>253</v>
      </c>
      <c r="C19" s="1" t="s">
        <v>254</v>
      </c>
      <c r="D19" s="1" t="s">
        <v>210</v>
      </c>
      <c r="E19" s="1" t="s">
        <v>211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255</v>
      </c>
      <c r="B1" s="1" t="s">
        <v>256</v>
      </c>
      <c r="C1" s="1" t="s">
        <v>257</v>
      </c>
    </row>
    <row r="2">
      <c r="A2" s="2">
        <v>45383.0</v>
      </c>
      <c r="B2" s="1">
        <v>1030.0</v>
      </c>
      <c r="C2" s="1">
        <v>0.84</v>
      </c>
    </row>
    <row r="3">
      <c r="A3" s="2">
        <v>45413.0</v>
      </c>
      <c r="B3" s="1">
        <v>1279.0</v>
      </c>
      <c r="C3" s="1">
        <v>0.84</v>
      </c>
    </row>
    <row r="4">
      <c r="A4" s="2">
        <v>45444.0</v>
      </c>
      <c r="B4" s="1">
        <v>1370.0</v>
      </c>
      <c r="C4" s="1">
        <v>0.84</v>
      </c>
    </row>
    <row r="5">
      <c r="A5" s="2">
        <v>45474.0</v>
      </c>
      <c r="B5" s="1">
        <v>1300.0</v>
      </c>
      <c r="C5" s="1">
        <v>0.84</v>
      </c>
    </row>
    <row r="6">
      <c r="A6" s="2">
        <v>45505.0</v>
      </c>
      <c r="B6" s="1">
        <v>1235.0</v>
      </c>
      <c r="C6" s="1">
        <v>0.84</v>
      </c>
    </row>
    <row r="7">
      <c r="A7" s="2">
        <v>45536.0</v>
      </c>
      <c r="B7" s="1">
        <v>1210.0</v>
      </c>
      <c r="C7" s="1">
        <v>0.84</v>
      </c>
    </row>
    <row r="8">
      <c r="A8" s="2">
        <v>45566.0</v>
      </c>
      <c r="B8" s="1">
        <v>1140.0</v>
      </c>
      <c r="C8" s="1">
        <v>0.84</v>
      </c>
    </row>
    <row r="9">
      <c r="A9" s="2">
        <v>45597.0</v>
      </c>
      <c r="B9" s="1">
        <v>1075.0</v>
      </c>
      <c r="C9" s="1">
        <v>0.84</v>
      </c>
    </row>
    <row r="10">
      <c r="A10" s="2">
        <v>45627.0</v>
      </c>
      <c r="B10" s="1">
        <v>1150.0</v>
      </c>
      <c r="C10" s="1">
        <v>0.84</v>
      </c>
    </row>
    <row r="11">
      <c r="A11" s="2">
        <v>45658.0</v>
      </c>
      <c r="B11" s="1">
        <v>1160.0</v>
      </c>
      <c r="C11" s="1">
        <v>0.84</v>
      </c>
    </row>
    <row r="12">
      <c r="A12" s="2">
        <v>45689.0</v>
      </c>
      <c r="B12" s="1">
        <v>1200.0</v>
      </c>
      <c r="C12" s="1">
        <v>0.84</v>
      </c>
    </row>
    <row r="13">
      <c r="A13" s="2">
        <v>45717.0</v>
      </c>
      <c r="B13" s="1">
        <v>1300.0</v>
      </c>
      <c r="C13" s="1">
        <v>0.84</v>
      </c>
    </row>
    <row r="14">
      <c r="A14" s="2">
        <v>45748.0</v>
      </c>
      <c r="B14" s="1">
        <v>1200.0</v>
      </c>
      <c r="C14" s="1">
        <v>0.84</v>
      </c>
    </row>
    <row r="15">
      <c r="A15" s="2">
        <v>45778.0</v>
      </c>
      <c r="B15" s="1">
        <v>1180.0</v>
      </c>
      <c r="C15" s="1">
        <v>0.84</v>
      </c>
    </row>
    <row r="16">
      <c r="A16" s="2">
        <v>45809.0</v>
      </c>
      <c r="B16" s="1">
        <v>1200.0</v>
      </c>
      <c r="C16" s="1">
        <v>0.84</v>
      </c>
    </row>
    <row r="17">
      <c r="A17" s="2">
        <v>45839.0</v>
      </c>
      <c r="B17" s="1">
        <v>1300.0</v>
      </c>
      <c r="C17" s="1">
        <v>0.84</v>
      </c>
    </row>
    <row r="18">
      <c r="A18" s="2">
        <v>45870.0</v>
      </c>
      <c r="B18" s="1">
        <v>1375.0</v>
      </c>
      <c r="C18" s="1">
        <v>0.84</v>
      </c>
    </row>
    <row r="19">
      <c r="A19" s="2">
        <v>45901.0</v>
      </c>
      <c r="B19" s="1">
        <v>1450.0</v>
      </c>
      <c r="C19" s="1">
        <v>0.84</v>
      </c>
    </row>
    <row r="20">
      <c r="A20" s="2">
        <v>45931.0</v>
      </c>
      <c r="B20" s="1">
        <v>1480.0</v>
      </c>
      <c r="C20" s="1">
        <v>0.84</v>
      </c>
    </row>
    <row r="21" ht="15.75" customHeight="1">
      <c r="A21" s="2">
        <v>45962.0</v>
      </c>
      <c r="B21" s="1">
        <v>1475.0</v>
      </c>
      <c r="C21" s="1">
        <v>0.84</v>
      </c>
    </row>
    <row r="22" ht="15.75" customHeight="1">
      <c r="A22" s="2">
        <v>45992.0</v>
      </c>
      <c r="B22" s="1">
        <v>1500.0</v>
      </c>
      <c r="C22" s="1">
        <v>0.84</v>
      </c>
    </row>
    <row r="23" ht="15.75" customHeight="1">
      <c r="A23" s="2">
        <v>46023.0</v>
      </c>
      <c r="B23" s="1">
        <v>1465.0</v>
      </c>
      <c r="C23" s="1">
        <v>0.84</v>
      </c>
    </row>
    <row r="24" ht="15.75" customHeight="1">
      <c r="A24" s="2">
        <v>46054.0</v>
      </c>
      <c r="B24" s="1">
        <v>1430.0</v>
      </c>
      <c r="C24" s="1">
        <v>0.84</v>
      </c>
    </row>
    <row r="25" ht="15.75" customHeight="1">
      <c r="A25" s="2">
        <v>46082.0</v>
      </c>
      <c r="B25" s="1">
        <v>1415.0</v>
      </c>
      <c r="C25" s="1">
        <v>0.87</v>
      </c>
    </row>
    <row r="26" ht="15.75" customHeight="1">
      <c r="A26" s="2">
        <v>46113.0</v>
      </c>
      <c r="B26" s="1">
        <v>1415.0</v>
      </c>
      <c r="C26" s="1">
        <v>0.85</v>
      </c>
    </row>
    <row r="27" ht="15.75" customHeight="1">
      <c r="A27" s="2">
        <v>46143.0</v>
      </c>
      <c r="B27" s="1">
        <v>1415.0</v>
      </c>
      <c r="C27" s="1">
        <v>0.86</v>
      </c>
    </row>
    <row r="28" ht="15.75" customHeight="1">
      <c r="A28" s="2">
        <v>46174.0</v>
      </c>
      <c r="B28" s="1">
        <v>1434.0</v>
      </c>
      <c r="C28" s="1">
        <v>0.86</v>
      </c>
    </row>
    <row r="29" ht="15.75" customHeight="1">
      <c r="A29" s="2">
        <v>46204.0</v>
      </c>
      <c r="B29" s="1">
        <v>1510.0</v>
      </c>
      <c r="C29" s="1">
        <v>0.88</v>
      </c>
    </row>
    <row r="30" ht="15.75" customHeight="1">
      <c r="A30" s="2">
        <v>46235.0</v>
      </c>
      <c r="B30" s="1">
        <v>1510.0</v>
      </c>
      <c r="C30" s="1">
        <v>0.88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16</v>
      </c>
    </row>
    <row r="2">
      <c r="A2" s="2">
        <v>46251.0</v>
      </c>
      <c r="B2" s="1" t="b">
        <v>0</v>
      </c>
      <c r="C2" s="1" t="b">
        <v>0</v>
      </c>
      <c r="D2" s="1" t="b">
        <v>0</v>
      </c>
      <c r="E2" s="1" t="s">
        <v>47</v>
      </c>
    </row>
    <row r="3">
      <c r="A3" s="2">
        <v>46252.0</v>
      </c>
      <c r="B3" s="1" t="b">
        <v>1</v>
      </c>
      <c r="C3" s="1" t="b">
        <v>1</v>
      </c>
      <c r="D3" s="1" t="b">
        <v>0</v>
      </c>
      <c r="E3" s="1" t="s">
        <v>47</v>
      </c>
    </row>
    <row r="4">
      <c r="A4" s="2">
        <v>46253.0</v>
      </c>
      <c r="B4" s="1" t="b">
        <v>0</v>
      </c>
      <c r="C4" s="1" t="b">
        <v>0</v>
      </c>
      <c r="D4" s="1" t="b">
        <v>0</v>
      </c>
      <c r="E4" s="1" t="s">
        <v>47</v>
      </c>
    </row>
    <row r="5">
      <c r="A5" s="2">
        <v>46254.0</v>
      </c>
      <c r="B5" s="1" t="b">
        <v>1</v>
      </c>
      <c r="C5" s="1" t="b">
        <v>1</v>
      </c>
      <c r="D5" s="1" t="b">
        <v>0</v>
      </c>
      <c r="E5" s="1" t="s">
        <v>47</v>
      </c>
    </row>
    <row r="6">
      <c r="A6" s="2">
        <v>46256.0</v>
      </c>
      <c r="B6" s="1" t="b">
        <v>0</v>
      </c>
      <c r="C6" s="1" t="b">
        <v>1</v>
      </c>
      <c r="D6" s="1" t="b">
        <v>0</v>
      </c>
      <c r="E6" s="1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204</v>
      </c>
      <c r="B1" s="1" t="s">
        <v>205</v>
      </c>
      <c r="C1" s="1" t="s">
        <v>206</v>
      </c>
      <c r="D1" s="1" t="s">
        <v>262</v>
      </c>
      <c r="E1" s="1" t="s">
        <v>16</v>
      </c>
    </row>
    <row r="2">
      <c r="A2" s="1" t="s">
        <v>259</v>
      </c>
      <c r="B2" s="1" t="s">
        <v>263</v>
      </c>
      <c r="C2" s="1" t="s">
        <v>264</v>
      </c>
      <c r="D2" s="1" t="b">
        <v>0</v>
      </c>
      <c r="E2" s="1" t="s">
        <v>47</v>
      </c>
    </row>
    <row r="3">
      <c r="A3" s="1" t="s">
        <v>260</v>
      </c>
      <c r="B3" s="1" t="s">
        <v>265</v>
      </c>
      <c r="C3" s="1" t="s">
        <v>266</v>
      </c>
      <c r="D3" s="1" t="b">
        <v>1</v>
      </c>
      <c r="E3" s="1" t="s">
        <v>47</v>
      </c>
    </row>
    <row r="4">
      <c r="A4" s="1" t="s">
        <v>261</v>
      </c>
      <c r="B4" s="1" t="s">
        <v>267</v>
      </c>
      <c r="C4" s="1" t="s">
        <v>268</v>
      </c>
      <c r="D4" s="1" t="b">
        <v>0</v>
      </c>
      <c r="E4" s="1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